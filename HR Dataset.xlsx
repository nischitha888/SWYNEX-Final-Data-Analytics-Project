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https://d.docs.live.net/b432f1569add6446/Documents/nischuu task 3/"/>
    </mc:Choice>
  </mc:AlternateContent>
  <xr:revisionPtr revIDLastSave="1742" documentId="8_{F51BB59B-9602-4441-A58F-3F16E421F925}" xr6:coauthVersionLast="47" xr6:coauthVersionMax="47" xr10:uidLastSave="{C2AD5300-C976-430B-B6CE-8CFCF1FC5A82}"/>
  <bookViews>
    <workbookView xWindow="-108" yWindow="-108" windowWidth="23256" windowHeight="12456" tabRatio="598" activeTab="2" xr2:uid="{E103DC93-A573-4A6F-B135-6B5FE291B62E}"/>
  </bookViews>
  <sheets>
    <sheet name="pivot tables" sheetId="2" r:id="rId1"/>
    <sheet name="HR Dataset" sheetId="1" r:id="rId2"/>
    <sheet name="HR dashboard" sheetId="5" r:id="rId3"/>
  </sheets>
  <definedNames>
    <definedName name="Slicer_Department">#N/A</definedName>
    <definedName name="Slicer_Gender">#N/A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2" l="1"/>
  <c r="E8" i="2"/>
  <c r="E7" i="2"/>
  <c r="AA83" i="1"/>
  <c r="AA82" i="1"/>
  <c r="E5" i="2"/>
  <c r="L10" i="2"/>
  <c r="L9" i="2"/>
  <c r="V14" i="2"/>
  <c r="V13" i="2"/>
  <c r="V11" i="2"/>
  <c r="U14" i="2"/>
  <c r="U13" i="2"/>
  <c r="U11" i="2"/>
  <c r="E6" i="2"/>
  <c r="E4" i="2"/>
  <c r="U15" i="2"/>
  <c r="U12" i="2"/>
  <c r="V12" i="2"/>
  <c r="V15" i="2"/>
  <c r="P14" i="2"/>
  <c r="P15" i="2"/>
  <c r="Q15" i="2" l="1"/>
  <c r="R15" i="2" s="1"/>
  <c r="Q14" i="2"/>
  <c r="R14" i="2" s="1"/>
  <c r="M11" i="2"/>
  <c r="L15" i="2"/>
  <c r="M15" i="2" s="1"/>
  <c r="L14" i="2"/>
  <c r="M14" i="2"/>
  <c r="L16" i="2"/>
  <c r="L12" i="2"/>
  <c r="M9" i="2"/>
  <c r="M10" i="2"/>
  <c r="M16" i="2"/>
</calcChain>
</file>

<file path=xl/sharedStrings.xml><?xml version="1.0" encoding="utf-8"?>
<sst xmlns="http://schemas.openxmlformats.org/spreadsheetml/2006/main" count="1504" uniqueCount="238">
  <si>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</si>
  <si>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</si>
  <si>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</si>
  <si>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</si>
  <si>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</si>
  <si>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</si>
  <si>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</si>
  <si>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</si>
  <si>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</si>
  <si>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</si>
  <si>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</si>
  <si>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</si>
  <si>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</si>
  <si>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</si>
  <si>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</si>
  <si>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</si>
  <si>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</si>
  <si>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</si>
  <si>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</si>
  <si>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</si>
  <si>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</si>
  <si>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</si>
  <si>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</si>
  <si>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</si>
  <si>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</si>
  <si>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</si>
  <si>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</si>
  <si>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</si>
  <si>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Full-Time</t>
  </si>
  <si>
    <t>Head Office</t>
  </si>
  <si>
    <t>C</t>
  </si>
  <si>
    <t>Health</t>
  </si>
  <si>
    <t>Leadership Training</t>
  </si>
  <si>
    <t>Design</t>
  </si>
  <si>
    <t>Certified Professional</t>
  </si>
  <si>
    <t>Gary Garcia</t>
  </si>
  <si>
    <t>Male</t>
  </si>
  <si>
    <t>26-35</t>
  </si>
  <si>
    <t>Central</t>
  </si>
  <si>
    <t>Designer</t>
  </si>
  <si>
    <t>HR</t>
  </si>
  <si>
    <t>Ashley Simmons MD</t>
  </si>
  <si>
    <t>Branch Office</t>
  </si>
  <si>
    <t>B</t>
  </si>
  <si>
    <t>None</t>
  </si>
  <si>
    <t>Excel Workshop</t>
  </si>
  <si>
    <t>Jeremy Nguyen</t>
  </si>
  <si>
    <t>West</t>
  </si>
  <si>
    <t>HR Specialist</t>
  </si>
  <si>
    <t>Marketing</t>
  </si>
  <si>
    <t>Cassandra Duncan</t>
  </si>
  <si>
    <t>Remote</t>
  </si>
  <si>
    <t>D</t>
  </si>
  <si>
    <t>Management</t>
  </si>
  <si>
    <t>Advanced Training</t>
  </si>
  <si>
    <t>Kimberly Jones</t>
  </si>
  <si>
    <t>36-45</t>
  </si>
  <si>
    <t>Operations</t>
  </si>
  <si>
    <t>Janet Harris</t>
  </si>
  <si>
    <t>Contract</t>
  </si>
  <si>
    <t>A</t>
  </si>
  <si>
    <t>Health + Dental</t>
  </si>
  <si>
    <t>Python</t>
  </si>
  <si>
    <t>Anthony Gates</t>
  </si>
  <si>
    <t>56 &lt;</t>
  </si>
  <si>
    <t>Mr. Frank Clay</t>
  </si>
  <si>
    <t>Courtney Foster</t>
  </si>
  <si>
    <t>Developer</t>
  </si>
  <si>
    <t>Dorothy Price</t>
  </si>
  <si>
    <t>Communication</t>
  </si>
  <si>
    <t>Catherine Hall</t>
  </si>
  <si>
    <t>Michele Sexton</t>
  </si>
  <si>
    <t>Deanna Ball</t>
  </si>
  <si>
    <t>South</t>
  </si>
  <si>
    <t>IT</t>
  </si>
  <si>
    <t>Richard Schmidt</t>
  </si>
  <si>
    <t>Candace Nelson</t>
  </si>
  <si>
    <t>Teresa Pearson</t>
  </si>
  <si>
    <t>Mandy Davis</t>
  </si>
  <si>
    <t>Laura Hart</t>
  </si>
  <si>
    <t>Matthew Powell</t>
  </si>
  <si>
    <t>Andrea May</t>
  </si>
  <si>
    <t>Bruce Nelson</t>
  </si>
  <si>
    <t>Casey Martin</t>
  </si>
  <si>
    <t>Excel</t>
  </si>
  <si>
    <t>Dawn Cole</t>
  </si>
  <si>
    <t>46-55</t>
  </si>
  <si>
    <t>Amber Allen</t>
  </si>
  <si>
    <t>Tanner Morse</t>
  </si>
  <si>
    <t>North</t>
  </si>
  <si>
    <t>Adam Johnson</t>
  </si>
  <si>
    <t>Jose Griffin</t>
  </si>
  <si>
    <t>Nicole Dominguez</t>
  </si>
  <si>
    <t>Daniel Hawkins</t>
  </si>
  <si>
    <t>Andrew Best</t>
  </si>
  <si>
    <t>Part-Time</t>
  </si>
  <si>
    <t>Elaine Mcclain</t>
  </si>
  <si>
    <t>Gabrielle Rodriguez</t>
  </si>
  <si>
    <t>Allison Harvey</t>
  </si>
  <si>
    <t>Thomas Kramer</t>
  </si>
  <si>
    <t>Tristan Mejia</t>
  </si>
  <si>
    <t>Kevin Whitaker</t>
  </si>
  <si>
    <t>Analyst</t>
  </si>
  <si>
    <t>Mary Welch</t>
  </si>
  <si>
    <t>Dustin Carter</t>
  </si>
  <si>
    <t>Douglas Miles</t>
  </si>
  <si>
    <t>Nicole Williamson</t>
  </si>
  <si>
    <t>Jessica Fleming</t>
  </si>
  <si>
    <t>Matthew Knight</t>
  </si>
  <si>
    <t>Christine Lee</t>
  </si>
  <si>
    <t>Donna Jones</t>
  </si>
  <si>
    <t>Mario Smith DVM</t>
  </si>
  <si>
    <t>Carolyn Bullock</t>
  </si>
  <si>
    <t>Joseph Francis</t>
  </si>
  <si>
    <t>Wendy Gomez</t>
  </si>
  <si>
    <t>Sarah Young</t>
  </si>
  <si>
    <t>Michael Thomas</t>
  </si>
  <si>
    <t>Aaron Hart</t>
  </si>
  <si>
    <t>Kevin Bell</t>
  </si>
  <si>
    <t>Brian Boyd</t>
  </si>
  <si>
    <t>Richard Landry</t>
  </si>
  <si>
    <t>Steven Krueger</t>
  </si>
  <si>
    <t>George Hurley</t>
  </si>
  <si>
    <t>Debra Williams</t>
  </si>
  <si>
    <t>Mark Lopez</t>
  </si>
  <si>
    <t>Karen Mitchell</t>
  </si>
  <si>
    <t>Robert Williams</t>
  </si>
  <si>
    <t>Joseph Sanders</t>
  </si>
  <si>
    <t>Mary Schmidt</t>
  </si>
  <si>
    <t>Shelly George</t>
  </si>
  <si>
    <t>Mary Martinez</t>
  </si>
  <si>
    <t>Nicole Houston</t>
  </si>
  <si>
    <t>Paul Hall</t>
  </si>
  <si>
    <t>Kristin Shaffer</t>
  </si>
  <si>
    <t>Samantha Foster</t>
  </si>
  <si>
    <t>Joel Aguilar</t>
  </si>
  <si>
    <t>Timothy Aguilar</t>
  </si>
  <si>
    <t>Michael Wade</t>
  </si>
  <si>
    <t>Charles Andrews</t>
  </si>
  <si>
    <t>Jessica Walsh</t>
  </si>
  <si>
    <t>Veronica Nelson</t>
  </si>
  <si>
    <t>Kelly Mack</t>
  </si>
  <si>
    <t>Chris Sanchez</t>
  </si>
  <si>
    <t>John Conley</t>
  </si>
  <si>
    <t>Cassie Galvan</t>
  </si>
  <si>
    <t>Aaron Baker</t>
  </si>
  <si>
    <t>Jessica Jones</t>
  </si>
  <si>
    <t>Christopher Bass</t>
  </si>
  <si>
    <t>Emily Walker</t>
  </si>
  <si>
    <t>Sean Tucker PhD</t>
  </si>
  <si>
    <t>Vickie Lewis</t>
  </si>
  <si>
    <t>Jacob Scott</t>
  </si>
  <si>
    <t>Alexis Clark</t>
  </si>
  <si>
    <t>Joel Park</t>
  </si>
  <si>
    <t>Robert Davis</t>
  </si>
  <si>
    <t>Russell Marshall</t>
  </si>
  <si>
    <t>Daniel Brown MD</t>
  </si>
  <si>
    <t>James Holden</t>
  </si>
  <si>
    <t>Anna Payne</t>
  </si>
  <si>
    <t>Thomas Murphy</t>
  </si>
  <si>
    <t>Rhonda Pena</t>
  </si>
  <si>
    <t>Mark Abbott</t>
  </si>
  <si>
    <t>Robin Lynch</t>
  </si>
  <si>
    <t>Henry Taylor</t>
  </si>
  <si>
    <t>Michael Scott</t>
  </si>
  <si>
    <t>Grace Lewis</t>
  </si>
  <si>
    <t>Ava King</t>
  </si>
  <si>
    <t>Sarah Adams</t>
  </si>
  <si>
    <t>Sophia Thomas</t>
  </si>
  <si>
    <t>Robert King</t>
  </si>
  <si>
    <t>Grace Young</t>
  </si>
  <si>
    <t>Mason Walker</t>
  </si>
  <si>
    <t>Henry Wilson</t>
  </si>
  <si>
    <t>Emily Davis</t>
  </si>
  <si>
    <t>Noah Martin</t>
  </si>
  <si>
    <t>John Carter</t>
  </si>
  <si>
    <t>Mason Wilson</t>
  </si>
  <si>
    <t>Lucas Moore</t>
  </si>
  <si>
    <t>Mason Hall</t>
  </si>
  <si>
    <t>Noah Walker</t>
  </si>
  <si>
    <t>Noah Moore</t>
  </si>
  <si>
    <t>Isabella Clark</t>
  </si>
  <si>
    <t>Henry Johnson</t>
  </si>
  <si>
    <t>Mia Lee</t>
  </si>
  <si>
    <t>Ethan King</t>
  </si>
  <si>
    <t>Olivia Brown</t>
  </si>
  <si>
    <t>Lisa Brown</t>
  </si>
  <si>
    <t>Liam King</t>
  </si>
  <si>
    <t>Isabella Thomas</t>
  </si>
  <si>
    <t>Liam Young</t>
  </si>
  <si>
    <t>Ava Martin</t>
  </si>
  <si>
    <t>James Taylor</t>
  </si>
  <si>
    <t>Aria Hall</t>
  </si>
  <si>
    <t>Ava Johnson</t>
  </si>
  <si>
    <t>Sophia King</t>
  </si>
  <si>
    <t>Isabella Johnson</t>
  </si>
  <si>
    <t>Henry Lee</t>
  </si>
  <si>
    <t>Olivia Taylor</t>
  </si>
  <si>
    <t>Liam Hall</t>
  </si>
  <si>
    <t>Emma Taylor</t>
  </si>
  <si>
    <t>Mason Johnson</t>
  </si>
  <si>
    <t>Liam Moore</t>
  </si>
  <si>
    <t>Noah Lee</t>
  </si>
  <si>
    <t>Grace Lee</t>
  </si>
  <si>
    <t>Grace Walker</t>
  </si>
  <si>
    <t>Noah Lewis</t>
  </si>
  <si>
    <t>Henry Moore</t>
  </si>
  <si>
    <t>James Lee</t>
  </si>
  <si>
    <t>Grace Clark</t>
  </si>
  <si>
    <t>Ava Wilson</t>
  </si>
  <si>
    <t>Isabella Smith</t>
  </si>
  <si>
    <t>Count of Full Name</t>
  </si>
  <si>
    <t>Row Labels</t>
  </si>
  <si>
    <t>Grand Total</t>
  </si>
  <si>
    <t>KPI Names</t>
  </si>
  <si>
    <t>Values</t>
  </si>
  <si>
    <t>Total Employees</t>
  </si>
  <si>
    <t>Avg Performance Rating</t>
  </si>
  <si>
    <t>Part Time Employees</t>
  </si>
  <si>
    <t>Full Time Employees</t>
  </si>
  <si>
    <t>Contract Employees</t>
  </si>
  <si>
    <t>Skills Breakdown</t>
  </si>
  <si>
    <t>Work location</t>
  </si>
  <si>
    <t>Total</t>
  </si>
  <si>
    <t>Column Labels</t>
  </si>
  <si>
    <t>salaries to department</t>
  </si>
  <si>
    <t>Sum of Salary</t>
  </si>
  <si>
    <t>Sum of Leave Taken</t>
  </si>
  <si>
    <t>Row Lables</t>
  </si>
  <si>
    <t>Count of Employee ID</t>
  </si>
  <si>
    <t>Unknown</t>
  </si>
  <si>
    <t>Regions</t>
  </si>
  <si>
    <t>Gender Range</t>
  </si>
  <si>
    <t>HR Dashboard KPI's</t>
  </si>
  <si>
    <t>Work Location %</t>
  </si>
  <si>
    <t>Comparison</t>
  </si>
  <si>
    <t>Gender %</t>
  </si>
  <si>
    <t>Opp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</si>
</sst>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_ ;_ [$₹-4009]\ * \-#,##0_ ;_ [$₹-4009]\ * &quot;-&quot;??_ ;_ @_ "/>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8"/>
        <bgColor indexed="64"/>
      </patternFill>
    </fill>
    <fill>
      <patternFill patternType="solid">
        <fgColor theme="7"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0" xfId="0" applyBorder="1" applyAlignment="1">
      <alignment horizontal="left"/>
    </xf>
    <xf numFmtId="0" fontId="0" fillId="0" borderId="10" xfId="0" applyBorder="1"/>
    <xf numFmtId="9" fontId="0" fillId="0" borderId="10" xfId="42" applyFont="1" applyBorder="1"/>
    <xf numFmtId="9" fontId="0" fillId="0" borderId="10" xfId="0" applyNumberFormat="1" applyBorder="1"/>
    <xf numFmtId="164" fontId="0" fillId="0" borderId="0" xfId="0" applyNumberFormat="1"/>
    <xf numFmtId="0" fontId="18" fillId="0" borderId="0" xfId="0" applyFont="1"/>
    <xf numFmtId="0" fontId="0" fillId="0" borderId="0" xfId="0" applyAlignment="1">
      <alignment horizontal="left" wrapText="1"/>
    </xf>
    <xf numFmtId="0" fontId="0" fillId="33" borderId="0" xfId="0" applyFill="1"/>
    <xf numFmtId="0" fontId="0" fillId="0" borderId="0" xfId="0" applyAlignment="1">
      <alignment horizontal="center"/>
    </xf>
    <xf numFmtId="0" fontId="16" fillId="33" borderId="10" xfId="0" applyFont="1" applyFill="1" applyBorder="1" applyAlignment="1">
      <alignment horizontal="left" wrapText="1"/>
    </xf>
    <xf numFmtId="0" fontId="16" fillId="33" borderId="10" xfId="0" applyFont="1" applyFill="1" applyBorder="1" applyAlignment="1">
      <alignment wrapText="1"/>
    </xf>
    <xf numFmtId="0" fontId="16" fillId="33" borderId="10" xfId="0" applyFont="1" applyFill="1" applyBorder="1"/>
    <xf numFmtId="0" fontId="16" fillId="35" borderId="10" xfId="0" applyFont="1" applyFill="1" applyBorder="1"/>
    <xf numFmtId="0" fontId="16" fillId="35" borderId="10" xfId="0" applyFont="1" applyFill="1" applyBorder="1" applyAlignment="1">
      <alignment horizontal="left"/>
    </xf>
    <xf numFmtId="0" fontId="0" fillId="33" borderId="10" xfId="0" applyFill="1" applyBorder="1"/>
    <xf numFmtId="0" fontId="16" fillId="33" borderId="10" xfId="0" applyFont="1" applyFill="1" applyBorder="1" applyAlignment="1">
      <alignment horizontal="left"/>
    </xf>
    <xf numFmtId="0" fontId="0" fillId="0" borderId="14" xfId="0" applyBorder="1"/>
    <xf numFmtId="0" fontId="16" fillId="33" borderId="12" xfId="0" applyFont="1" applyFill="1" applyBorder="1" applyAlignment="1">
      <alignment horizontal="center"/>
    </xf>
    <xf numFmtId="0" fontId="16" fillId="33" borderId="11" xfId="0" applyFont="1" applyFill="1" applyBorder="1" applyAlignment="1">
      <alignment horizontal="center"/>
    </xf>
    <xf numFmtId="0" fontId="16" fillId="33" borderId="13" xfId="0" applyFont="1" applyFill="1" applyBorder="1" applyAlignment="1">
      <alignment horizontal="center"/>
    </xf>
    <xf numFmtId="0" fontId="0" fillId="34" borderId="10" xfId="0" applyFill="1" applyBorder="1" applyAlignment="1">
      <alignment horizontal="center"/>
    </xf>
    <xf numFmtId="0" fontId="0" fillId="34"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6">
    <dxf>
      <numFmt numFmtId="19" formatCode="dd/mm/yyyy"/>
    </dxf>
    <dxf>
      <numFmt numFmtId="19" formatCode="dd/mm/yyyy"/>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bottom/>
      </border>
    </dxf>
    <dxf>
      <border>
        <left/>
      </border>
    </dxf>
    <dxf>
      <border>
        <left/>
      </border>
    </dxf>
    <dxf>
      <border>
        <left/>
      </border>
    </dxf>
    <dxf>
      <border>
        <left/>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4009]\ * #,##0_ ;_ [$₹-4009]\ * \-#,##0_ ;_ [$₹-4009]\ * &quot;-&quot;??_ ;_ @_ "/>
    </dxf>
    <dxf>
      <numFmt numFmtId="164" formatCode="_ [$₹-4009]\ * #,##0_ ;_ [$₹-4009]\ * \-#,##0_ ;_ [$₹-4009]\ * &quot;-&quot;??_ ;_ @_ "/>
    </dxf>
    <dxf>
      <fill>
        <patternFill>
          <bgColor theme="4" tint="0.79998168889431442"/>
        </patternFill>
      </fill>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1"/>
        </patternFill>
      </fill>
    </dxf>
    <dxf>
      <font>
        <color theme="1"/>
      </font>
    </dxf>
    <dxf>
      <font>
        <color theme="1"/>
      </font>
    </dxf>
  </dxfs>
  <tableStyles count="2" defaultTableStyle="TableStyleMedium2" defaultPivotStyle="PivotStyleLight16">
    <tableStyle name="Slicer Style 1" pivot="0" table="0" count="3" xr9:uid="{177A63A4-0384-4D19-BECD-9D3517556957}">
      <tableStyleElement type="wholeTable" dxfId="25"/>
      <tableStyleElement type="headerRow" dxfId="24"/>
    </tableStyle>
    <tableStyle name="Slicer Style 2" pivot="0" table="0" count="1" xr9:uid="{4419FBF4-715F-4D42-849A-A37E7270E856}">
      <tableStyleElement type="wholeTable" dxfId="23"/>
    </tableStyle>
  </tableStyles>
  <extLst>
    <ext xmlns:x14="http://schemas.microsoft.com/office/spreadsheetml/2009/9/main" uri="{46F421CA-312F-682f-3DD2-61675219B42D}">
      <x14:dxfs count="1">
        <dxf>
          <font>
            <color theme="1"/>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tables!PivotTable8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tables'!$G$4:$G$9</c:f>
              <c:strCache>
                <c:ptCount val="5"/>
                <c:pt idx="0">
                  <c:v>Communication</c:v>
                </c:pt>
                <c:pt idx="1">
                  <c:v>Design</c:v>
                </c:pt>
                <c:pt idx="2">
                  <c:v>Excel</c:v>
                </c:pt>
                <c:pt idx="3">
                  <c:v>Management</c:v>
                </c:pt>
                <c:pt idx="4">
                  <c:v>Python</c:v>
                </c:pt>
              </c:strCache>
            </c:strRef>
          </c:cat>
          <c:val>
            <c:numRef>
              <c:f>'pivot tables'!$H$4:$H$9</c:f>
              <c:numCache>
                <c:formatCode>General</c:formatCode>
                <c:ptCount val="5"/>
                <c:pt idx="0">
                  <c:v>19</c:v>
                </c:pt>
                <c:pt idx="1">
                  <c:v>25</c:v>
                </c:pt>
                <c:pt idx="2">
                  <c:v>15</c:v>
                </c:pt>
                <c:pt idx="3">
                  <c:v>19</c:v>
                </c:pt>
                <c:pt idx="4">
                  <c:v>22</c:v>
                </c:pt>
              </c:numCache>
            </c:numRef>
          </c:val>
          <c:extLst>
            <c:ext xmlns:c16="http://schemas.microsoft.com/office/drawing/2014/chart" uri="{C3380CC4-5D6E-409C-BE32-E72D297353CC}">
              <c16:uniqueId val="{00000005-A347-459B-BF9F-CB241FC7D9E4}"/>
            </c:ext>
          </c:extLst>
        </c:ser>
        <c:dLbls>
          <c:dLblPos val="outEnd"/>
          <c:showLegendKey val="0"/>
          <c:showVal val="1"/>
          <c:showCatName val="0"/>
          <c:showSerName val="0"/>
          <c:showPercent val="0"/>
          <c:showBubbleSize val="0"/>
        </c:dLbls>
        <c:gapWidth val="100"/>
        <c:axId val="1028055104"/>
        <c:axId val="766735184"/>
      </c:barChart>
      <c:catAx>
        <c:axId val="1028055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766735184"/>
        <c:crosses val="autoZero"/>
        <c:auto val="1"/>
        <c:lblAlgn val="ctr"/>
        <c:lblOffset val="100"/>
        <c:noMultiLvlLbl val="0"/>
      </c:catAx>
      <c:valAx>
        <c:axId val="766735184"/>
        <c:scaling>
          <c:orientation val="minMax"/>
        </c:scaling>
        <c:delete val="1"/>
        <c:axPos val="b"/>
        <c:numFmt formatCode="General" sourceLinked="1"/>
        <c:majorTickMark val="out"/>
        <c:minorTickMark val="none"/>
        <c:tickLblPos val="nextTo"/>
        <c:crossAx val="102805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861909846579773E-2"/>
          <c:y val="3.9501291600371864E-2"/>
          <c:w val="0.83802755931761475"/>
          <c:h val="0.88411817106657675"/>
        </c:manualLayout>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B30-4B1F-963E-0CB9F236BC14}"/>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DB30-4B1F-963E-0CB9F236BC14}"/>
              </c:ext>
            </c:extLst>
          </c:dPt>
          <c:dLbls>
            <c:delete val="1"/>
          </c:dLbls>
          <c:val>
            <c:numRef>
              <c:f>'pivot tables'!$Q$15:$R$15</c:f>
              <c:numCache>
                <c:formatCode>0%</c:formatCode>
                <c:ptCount val="2"/>
                <c:pt idx="0">
                  <c:v>0.49</c:v>
                </c:pt>
                <c:pt idx="1">
                  <c:v>0.51</c:v>
                </c:pt>
              </c:numCache>
            </c:numRef>
          </c:val>
          <c:extLst>
            <c:ext xmlns:c16="http://schemas.microsoft.com/office/drawing/2014/chart" uri="{C3380CC4-5D6E-409C-BE32-E72D297353CC}">
              <c16:uniqueId val="{00000004-DB30-4B1F-963E-0CB9F236BC1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814431090850485"/>
          <c:y val="6.2629633982319369E-2"/>
          <c:w val="0.77958235483722427"/>
          <c:h val="0.88430237265117984"/>
        </c:manualLayout>
      </c:layout>
      <c:doughnutChart>
        <c:varyColors val="1"/>
        <c:ser>
          <c:idx val="0"/>
          <c:order val="0"/>
          <c:spPr>
            <a:solidFill>
              <a:schemeClr val="accent2"/>
            </a:solidFill>
          </c:spPr>
          <c:explosion val="3"/>
          <c:dPt>
            <c:idx val="0"/>
            <c:bubble3D val="0"/>
            <c:explosion val="0"/>
            <c:spPr>
              <a:solidFill>
                <a:schemeClr val="accent2"/>
              </a:solidFill>
              <a:ln w="19050">
                <a:solidFill>
                  <a:schemeClr val="lt1"/>
                </a:solidFill>
              </a:ln>
              <a:effectLst/>
            </c:spPr>
            <c:extLst>
              <c:ext xmlns:c16="http://schemas.microsoft.com/office/drawing/2014/chart" uri="{C3380CC4-5D6E-409C-BE32-E72D297353CC}">
                <c16:uniqueId val="{00000001-C3E1-402E-9E31-24640DDFC409}"/>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C3E1-402E-9E31-24640DDFC409}"/>
              </c:ext>
            </c:extLst>
          </c:dPt>
          <c:val>
            <c:numRef>
              <c:f>'pivot tables'!$Q$14:$R$14</c:f>
              <c:numCache>
                <c:formatCode>0%</c:formatCode>
                <c:ptCount val="2"/>
                <c:pt idx="0">
                  <c:v>0.51</c:v>
                </c:pt>
                <c:pt idx="1">
                  <c:v>0.49</c:v>
                </c:pt>
              </c:numCache>
            </c:numRef>
          </c:val>
          <c:extLst>
            <c:ext xmlns:c16="http://schemas.microsoft.com/office/drawing/2014/chart" uri="{C3380CC4-5D6E-409C-BE32-E72D297353CC}">
              <c16:uniqueId val="{00000004-C3E1-402E-9E31-24640DDFC40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tables!PivotTable12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4.5483757366278132E-2"/>
          <c:w val="0.93888888888888888"/>
          <c:h val="0.81440521142358568"/>
        </c:manualLayout>
      </c:layout>
      <c:barChart>
        <c:barDir val="col"/>
        <c:grouping val="clustered"/>
        <c:varyColors val="0"/>
        <c:ser>
          <c:idx val="0"/>
          <c:order val="0"/>
          <c:tx>
            <c:strRef>
              <c:f>'pivot tables'!$P$3:$P$4</c:f>
              <c:strCache>
                <c:ptCount val="1"/>
                <c:pt idx="0">
                  <c:v>Female</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tables'!$O$5:$O$10</c:f>
              <c:strCache>
                <c:ptCount val="5"/>
                <c:pt idx="0">
                  <c:v>18-25</c:v>
                </c:pt>
                <c:pt idx="1">
                  <c:v>26-35</c:v>
                </c:pt>
                <c:pt idx="2">
                  <c:v>36-45</c:v>
                </c:pt>
                <c:pt idx="3">
                  <c:v>46-55</c:v>
                </c:pt>
                <c:pt idx="4">
                  <c:v>56 &lt;</c:v>
                </c:pt>
              </c:strCache>
            </c:strRef>
          </c:cat>
          <c:val>
            <c:numRef>
              <c:f>'pivot tables'!$P$5:$P$10</c:f>
              <c:numCache>
                <c:formatCode>General</c:formatCode>
                <c:ptCount val="5"/>
                <c:pt idx="0">
                  <c:v>8</c:v>
                </c:pt>
                <c:pt idx="1">
                  <c:v>14</c:v>
                </c:pt>
                <c:pt idx="2">
                  <c:v>11</c:v>
                </c:pt>
                <c:pt idx="3">
                  <c:v>8</c:v>
                </c:pt>
                <c:pt idx="4">
                  <c:v>8</c:v>
                </c:pt>
              </c:numCache>
            </c:numRef>
          </c:val>
          <c:extLst>
            <c:ext xmlns:c16="http://schemas.microsoft.com/office/drawing/2014/chart" uri="{C3380CC4-5D6E-409C-BE32-E72D297353CC}">
              <c16:uniqueId val="{00000000-D80A-410A-BFCF-5FF8F969F6F0}"/>
            </c:ext>
          </c:extLst>
        </c:ser>
        <c:ser>
          <c:idx val="1"/>
          <c:order val="1"/>
          <c:tx>
            <c:strRef>
              <c:f>'pivot tables'!$Q$3:$Q$4</c:f>
              <c:strCache>
                <c:ptCount val="1"/>
                <c:pt idx="0">
                  <c:v>Male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tables'!$O$5:$O$10</c:f>
              <c:strCache>
                <c:ptCount val="5"/>
                <c:pt idx="0">
                  <c:v>18-25</c:v>
                </c:pt>
                <c:pt idx="1">
                  <c:v>26-35</c:v>
                </c:pt>
                <c:pt idx="2">
                  <c:v>36-45</c:v>
                </c:pt>
                <c:pt idx="3">
                  <c:v>46-55</c:v>
                </c:pt>
                <c:pt idx="4">
                  <c:v>56 &lt;</c:v>
                </c:pt>
              </c:strCache>
            </c:strRef>
          </c:cat>
          <c:val>
            <c:numRef>
              <c:f>'pivot tables'!$Q$5:$Q$10</c:f>
              <c:numCache>
                <c:formatCode>General</c:formatCode>
                <c:ptCount val="5"/>
                <c:pt idx="0">
                  <c:v>7</c:v>
                </c:pt>
                <c:pt idx="1">
                  <c:v>11</c:v>
                </c:pt>
                <c:pt idx="2">
                  <c:v>15</c:v>
                </c:pt>
                <c:pt idx="3">
                  <c:v>11</c:v>
                </c:pt>
                <c:pt idx="4">
                  <c:v>7</c:v>
                </c:pt>
              </c:numCache>
            </c:numRef>
          </c:val>
          <c:extLst>
            <c:ext xmlns:c16="http://schemas.microsoft.com/office/drawing/2014/chart" uri="{C3380CC4-5D6E-409C-BE32-E72D297353CC}">
              <c16:uniqueId val="{00000003-98A8-4503-BA1F-814D49B2701C}"/>
            </c:ext>
          </c:extLst>
        </c:ser>
        <c:dLbls>
          <c:dLblPos val="outEnd"/>
          <c:showLegendKey val="0"/>
          <c:showVal val="1"/>
          <c:showCatName val="0"/>
          <c:showSerName val="0"/>
          <c:showPercent val="0"/>
          <c:showBubbleSize val="0"/>
        </c:dLbls>
        <c:gapWidth val="219"/>
        <c:overlap val="-27"/>
        <c:axId val="1028096864"/>
        <c:axId val="1070022928"/>
      </c:barChart>
      <c:catAx>
        <c:axId val="102809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70022928"/>
        <c:crosses val="autoZero"/>
        <c:auto val="1"/>
        <c:lblAlgn val="ctr"/>
        <c:lblOffset val="100"/>
        <c:noMultiLvlLbl val="0"/>
      </c:catAx>
      <c:valAx>
        <c:axId val="1070022928"/>
        <c:scaling>
          <c:orientation val="minMax"/>
        </c:scaling>
        <c:delete val="1"/>
        <c:axPos val="l"/>
        <c:numFmt formatCode="General" sourceLinked="1"/>
        <c:majorTickMark val="none"/>
        <c:minorTickMark val="none"/>
        <c:tickLblPos val="nextTo"/>
        <c:crossAx val="10280968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909222377867792E-2"/>
          <c:y val="6.8376068376068383E-2"/>
          <c:w val="0.95305166633314042"/>
          <c:h val="0.84957264957264955"/>
        </c:manualLayout>
      </c:layout>
      <c:barChart>
        <c:barDir val="bar"/>
        <c:grouping val="stacked"/>
        <c:varyColors val="0"/>
        <c:ser>
          <c:idx val="0"/>
          <c:order val="0"/>
          <c:spPr>
            <a:solidFill>
              <a:srgbClr val="FFC000"/>
            </a:solidFill>
            <a:ln>
              <a:noFill/>
            </a:ln>
            <a:effectLst/>
          </c:spPr>
          <c:invertIfNegative val="0"/>
          <c:dLbls>
            <c:dLbl>
              <c:idx val="0"/>
              <c:layout>
                <c:manualLayout>
                  <c:x val="0.6948353382695212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B5-4941-8429-2C60EF21760E}"/>
                </c:ext>
              </c:extLst>
            </c:dLbl>
            <c:dLbl>
              <c:idx val="1"/>
              <c:layout>
                <c:manualLayout>
                  <c:x val="0.7230043384696369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B5-4941-8429-2C60EF21760E}"/>
                </c:ext>
              </c:extLst>
            </c:dLbl>
            <c:dLbl>
              <c:idx val="2"/>
              <c:layout>
                <c:manualLayout>
                  <c:x val="0.71674456064738923"/>
                  <c:y val="-1.36752136752136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B5-4941-8429-2C60EF21760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'pivot tables'!$L$14:$L$16</c:f>
              <c:numCache>
                <c:formatCode>0%</c:formatCode>
                <c:ptCount val="3"/>
                <c:pt idx="0">
                  <c:v>0.38</c:v>
                </c:pt>
                <c:pt idx="1">
                  <c:v>0.3</c:v>
                </c:pt>
                <c:pt idx="2">
                  <c:v>0.32</c:v>
                </c:pt>
              </c:numCache>
            </c:numRef>
          </c:val>
          <c:extLst>
            <c:ext xmlns:c16="http://schemas.microsoft.com/office/drawing/2014/chart" uri="{C3380CC4-5D6E-409C-BE32-E72D297353CC}">
              <c16:uniqueId val="{00000000-64B5-4941-8429-2C60EF21760E}"/>
            </c:ext>
          </c:extLst>
        </c:ser>
        <c:ser>
          <c:idx val="1"/>
          <c:order val="1"/>
          <c:spPr>
            <a:solidFill>
              <a:schemeClr val="tx1">
                <a:lumMod val="50000"/>
                <a:lumOff val="50000"/>
              </a:schemeClr>
            </a:solidFill>
            <a:ln>
              <a:noFill/>
            </a:ln>
            <a:effectLst/>
          </c:spPr>
          <c:invertIfNegative val="0"/>
          <c:val>
            <c:numRef>
              <c:f>'pivot tables'!$M$14:$M$16</c:f>
              <c:numCache>
                <c:formatCode>0%</c:formatCode>
                <c:ptCount val="3"/>
                <c:pt idx="0">
                  <c:v>0.62</c:v>
                </c:pt>
                <c:pt idx="1">
                  <c:v>0.7</c:v>
                </c:pt>
                <c:pt idx="2">
                  <c:v>0.67999999999999994</c:v>
                </c:pt>
              </c:numCache>
            </c:numRef>
          </c:val>
          <c:extLst>
            <c:ext xmlns:c16="http://schemas.microsoft.com/office/drawing/2014/chart" uri="{C3380CC4-5D6E-409C-BE32-E72D297353CC}">
              <c16:uniqueId val="{00000001-64B5-4941-8429-2C60EF21760E}"/>
            </c:ext>
          </c:extLst>
        </c:ser>
        <c:dLbls>
          <c:showLegendKey val="0"/>
          <c:showVal val="0"/>
          <c:showCatName val="0"/>
          <c:showSerName val="0"/>
          <c:showPercent val="0"/>
          <c:showBubbleSize val="0"/>
        </c:dLbls>
        <c:gapWidth val="150"/>
        <c:overlap val="100"/>
        <c:axId val="1154171344"/>
        <c:axId val="1069826608"/>
      </c:barChart>
      <c:catAx>
        <c:axId val="1154171344"/>
        <c:scaling>
          <c:orientation val="minMax"/>
        </c:scaling>
        <c:delete val="1"/>
        <c:axPos val="l"/>
        <c:majorTickMark val="none"/>
        <c:minorTickMark val="none"/>
        <c:tickLblPos val="nextTo"/>
        <c:crossAx val="1069826608"/>
        <c:crosses val="autoZero"/>
        <c:auto val="1"/>
        <c:lblAlgn val="ctr"/>
        <c:lblOffset val="100"/>
        <c:noMultiLvlLbl val="0"/>
      </c:catAx>
      <c:valAx>
        <c:axId val="1069826608"/>
        <c:scaling>
          <c:orientation val="minMax"/>
        </c:scaling>
        <c:delete val="1"/>
        <c:axPos val="b"/>
        <c:numFmt formatCode="0%" sourceLinked="1"/>
        <c:majorTickMark val="none"/>
        <c:minorTickMark val="none"/>
        <c:tickLblPos val="nextTo"/>
        <c:crossAx val="115417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576586179062929E-2"/>
          <c:y val="4.2641157458623465E-2"/>
          <c:w val="0.93888888888888888"/>
          <c:h val="0.81284484067590723"/>
        </c:manualLayout>
      </c:layout>
      <c:barChart>
        <c:barDir val="col"/>
        <c:grouping val="clustered"/>
        <c:varyColors val="0"/>
        <c:ser>
          <c:idx val="0"/>
          <c:order val="0"/>
          <c:tx>
            <c:strRef>
              <c:f>'pivot tables'!$T$11</c:f>
              <c:strCache>
                <c:ptCount val="1"/>
                <c:pt idx="0">
                  <c:v>Analyst</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tables'!$V$11</c:f>
              <c:numCache>
                <c:formatCode>General</c:formatCode>
                <c:ptCount val="1"/>
                <c:pt idx="0">
                  <c:v>207</c:v>
                </c:pt>
              </c:numCache>
            </c:numRef>
          </c:val>
          <c:extLst>
            <c:ext xmlns:c16="http://schemas.microsoft.com/office/drawing/2014/chart" uri="{C3380CC4-5D6E-409C-BE32-E72D297353CC}">
              <c16:uniqueId val="{00000000-CF4C-4B21-A25F-9E91E89341CF}"/>
            </c:ext>
          </c:extLst>
        </c:ser>
        <c:ser>
          <c:idx val="1"/>
          <c:order val="1"/>
          <c:tx>
            <c:strRef>
              <c:f>'pivot tables'!$T$12</c:f>
              <c:strCache>
                <c:ptCount val="1"/>
                <c:pt idx="0">
                  <c:v>Designer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tables'!$V$12</c:f>
              <c:numCache>
                <c:formatCode>General</c:formatCode>
                <c:ptCount val="1"/>
                <c:pt idx="0">
                  <c:v>159</c:v>
                </c:pt>
              </c:numCache>
            </c:numRef>
          </c:val>
          <c:extLst>
            <c:ext xmlns:c16="http://schemas.microsoft.com/office/drawing/2014/chart" uri="{C3380CC4-5D6E-409C-BE32-E72D297353CC}">
              <c16:uniqueId val="{00000001-CF4C-4B21-A25F-9E91E89341CF}"/>
            </c:ext>
          </c:extLst>
        </c:ser>
        <c:ser>
          <c:idx val="2"/>
          <c:order val="2"/>
          <c:tx>
            <c:strRef>
              <c:f>'pivot tables'!$T$13</c:f>
              <c:strCache>
                <c:ptCount val="1"/>
                <c:pt idx="0">
                  <c:v>Developer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tables'!$V$13</c:f>
              <c:numCache>
                <c:formatCode>General</c:formatCode>
                <c:ptCount val="1"/>
                <c:pt idx="0">
                  <c:v>212</c:v>
                </c:pt>
              </c:numCache>
            </c:numRef>
          </c:val>
          <c:extLst>
            <c:ext xmlns:c16="http://schemas.microsoft.com/office/drawing/2014/chart" uri="{C3380CC4-5D6E-409C-BE32-E72D297353CC}">
              <c16:uniqueId val="{00000002-CF4C-4B21-A25F-9E91E89341CF}"/>
            </c:ext>
          </c:extLst>
        </c:ser>
        <c:ser>
          <c:idx val="3"/>
          <c:order val="3"/>
          <c:tx>
            <c:strRef>
              <c:f>'pivot tables'!$T$14</c:f>
              <c:strCache>
                <c:ptCount val="1"/>
                <c:pt idx="0">
                  <c:v>HR Specialist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tables'!$V$14</c:f>
              <c:numCache>
                <c:formatCode>General</c:formatCode>
                <c:ptCount val="1"/>
                <c:pt idx="0">
                  <c:v>234</c:v>
                </c:pt>
              </c:numCache>
            </c:numRef>
          </c:val>
          <c:extLst>
            <c:ext xmlns:c16="http://schemas.microsoft.com/office/drawing/2014/chart" uri="{C3380CC4-5D6E-409C-BE32-E72D297353CC}">
              <c16:uniqueId val="{00000003-CF4C-4B21-A25F-9E91E89341CF}"/>
            </c:ext>
          </c:extLst>
        </c:ser>
        <c:ser>
          <c:idx val="4"/>
          <c:order val="4"/>
          <c:tx>
            <c:strRef>
              <c:f>'pivot tables'!$T$15</c:f>
              <c:strCache>
                <c:ptCount val="1"/>
                <c:pt idx="0">
                  <c:v>Manager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tables'!$V$15</c:f>
              <c:numCache>
                <c:formatCode>General</c:formatCode>
                <c:ptCount val="1"/>
                <c:pt idx="0">
                  <c:v>238</c:v>
                </c:pt>
              </c:numCache>
            </c:numRef>
          </c:val>
          <c:extLst>
            <c:ext xmlns:c16="http://schemas.microsoft.com/office/drawing/2014/chart" uri="{C3380CC4-5D6E-409C-BE32-E72D297353CC}">
              <c16:uniqueId val="{00000004-CF4C-4B21-A25F-9E91E89341CF}"/>
            </c:ext>
          </c:extLst>
        </c:ser>
        <c:dLbls>
          <c:dLblPos val="outEnd"/>
          <c:showLegendKey val="0"/>
          <c:showVal val="1"/>
          <c:showCatName val="0"/>
          <c:showSerName val="0"/>
          <c:showPercent val="0"/>
          <c:showBubbleSize val="0"/>
        </c:dLbls>
        <c:gapWidth val="219"/>
        <c:overlap val="-27"/>
        <c:axId val="1094463296"/>
        <c:axId val="766736144"/>
      </c:barChart>
      <c:catAx>
        <c:axId val="109446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736144"/>
        <c:crosses val="autoZero"/>
        <c:auto val="1"/>
        <c:lblAlgn val="ctr"/>
        <c:lblOffset val="100"/>
        <c:noMultiLvlLbl val="0"/>
      </c:catAx>
      <c:valAx>
        <c:axId val="766736144"/>
        <c:scaling>
          <c:orientation val="minMax"/>
        </c:scaling>
        <c:delete val="1"/>
        <c:axPos val="l"/>
        <c:numFmt formatCode="General" sourceLinked="1"/>
        <c:majorTickMark val="none"/>
        <c:minorTickMark val="none"/>
        <c:tickLblPos val="nextTo"/>
        <c:crossAx val="1094463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tables!PivotTable15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bar"/>
        <c:grouping val="clustered"/>
        <c:varyColors val="1"/>
        <c:ser>
          <c:idx val="0"/>
          <c:order val="0"/>
          <c:tx>
            <c:strRef>
              <c:f>'pivot tables'!$Z$3</c:f>
              <c:strCache>
                <c:ptCount val="1"/>
                <c:pt idx="0">
                  <c:v>Total</c:v>
                </c:pt>
              </c:strCache>
            </c:strRef>
          </c:tx>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D6E5-431B-9EEA-62948E0C810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5645-4041-9653-8D31566F495F}"/>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5645-4041-9653-8D31566F495F}"/>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5645-4041-9653-8D31566F495F}"/>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5645-4041-9653-8D31566F495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tables'!$Y$4:$Y$9</c:f>
              <c:strCache>
                <c:ptCount val="5"/>
                <c:pt idx="0">
                  <c:v>Central</c:v>
                </c:pt>
                <c:pt idx="1">
                  <c:v>East</c:v>
                </c:pt>
                <c:pt idx="2">
                  <c:v>North</c:v>
                </c:pt>
                <c:pt idx="3">
                  <c:v>South</c:v>
                </c:pt>
                <c:pt idx="4">
                  <c:v>West</c:v>
                </c:pt>
              </c:strCache>
            </c:strRef>
          </c:cat>
          <c:val>
            <c:numRef>
              <c:f>'pivot tables'!$Z$4:$Z$9</c:f>
              <c:numCache>
                <c:formatCode>General</c:formatCode>
                <c:ptCount val="5"/>
                <c:pt idx="0">
                  <c:v>26</c:v>
                </c:pt>
                <c:pt idx="1">
                  <c:v>19</c:v>
                </c:pt>
                <c:pt idx="2">
                  <c:v>17</c:v>
                </c:pt>
                <c:pt idx="3">
                  <c:v>24</c:v>
                </c:pt>
                <c:pt idx="4">
                  <c:v>14</c:v>
                </c:pt>
              </c:numCache>
            </c:numRef>
          </c:val>
          <c:extLst>
            <c:ext xmlns:c16="http://schemas.microsoft.com/office/drawing/2014/chart" uri="{C3380CC4-5D6E-409C-BE32-E72D297353CC}">
              <c16:uniqueId val="{00000000-D6E5-431B-9EEA-62948E0C8104}"/>
            </c:ext>
          </c:extLst>
        </c:ser>
        <c:dLbls>
          <c:showLegendKey val="0"/>
          <c:showVal val="0"/>
          <c:showCatName val="0"/>
          <c:showSerName val="0"/>
          <c:showPercent val="0"/>
          <c:showBubbleSize val="0"/>
        </c:dLbls>
        <c:gapWidth val="182"/>
        <c:axId val="942146575"/>
        <c:axId val="955773743"/>
      </c:barChart>
      <c:catAx>
        <c:axId val="94214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955773743"/>
        <c:crosses val="autoZero"/>
        <c:auto val="1"/>
        <c:lblAlgn val="ctr"/>
        <c:lblOffset val="100"/>
        <c:noMultiLvlLbl val="0"/>
      </c:catAx>
      <c:valAx>
        <c:axId val="955773743"/>
        <c:scaling>
          <c:orientation val="minMax"/>
        </c:scaling>
        <c:delete val="1"/>
        <c:axPos val="b"/>
        <c:numFmt formatCode="General" sourceLinked="1"/>
        <c:majorTickMark val="none"/>
        <c:minorTickMark val="none"/>
        <c:tickLblPos val="nextTo"/>
        <c:crossAx val="94214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tables!PivotTable1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CD-46F0-832C-BF0C2B1C03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CD-46F0-832C-BF0C2B1C03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CD-46F0-832C-BF0C2B1C03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tables'!$A$4:$A$7</c:f>
              <c:strCache>
                <c:ptCount val="3"/>
                <c:pt idx="0">
                  <c:v>Contract</c:v>
                </c:pt>
                <c:pt idx="1">
                  <c:v>Full-Time</c:v>
                </c:pt>
                <c:pt idx="2">
                  <c:v>Part-Time</c:v>
                </c:pt>
              </c:strCache>
            </c:strRef>
          </c:cat>
          <c:val>
            <c:numRef>
              <c:f>'pivot tables'!$B$4:$B$7</c:f>
              <c:numCache>
                <c:formatCode>General</c:formatCode>
                <c:ptCount val="3"/>
                <c:pt idx="0">
                  <c:v>31</c:v>
                </c:pt>
                <c:pt idx="1">
                  <c:v>41</c:v>
                </c:pt>
                <c:pt idx="2">
                  <c:v>28</c:v>
                </c:pt>
              </c:numCache>
            </c:numRef>
          </c:val>
          <c:extLst>
            <c:ext xmlns:c16="http://schemas.microsoft.com/office/drawing/2014/chart" uri="{C3380CC4-5D6E-409C-BE32-E72D297353CC}">
              <c16:uniqueId val="{00000008-D6C2-413E-91F5-57FFAD69D31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2744816272965875"/>
          <c:y val="0.29511009040536601"/>
          <c:w val="0.30617369062124955"/>
          <c:h val="0.40587643353482855"/>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hyperlink" Target="https://freesvg.org/index.php/packaging-labels-vector-image" TargetMode="External"/><Relationship Id="rId3" Type="http://schemas.openxmlformats.org/officeDocument/2006/relationships/chart" Target="../charts/chart3.xml"/><Relationship Id="rId7" Type="http://schemas.openxmlformats.org/officeDocument/2006/relationships/image" Target="../media/image1.emf"/><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https://www.rawpixel.com/image/262736/free-illustration-image-conflict-bearish-abstract" TargetMode="External"/><Relationship Id="rId5" Type="http://schemas.openxmlformats.org/officeDocument/2006/relationships/chart" Target="../charts/chart5.xml"/><Relationship Id="rId15" Type="http://schemas.openxmlformats.org/officeDocument/2006/relationships/image" Target="../media/image5.svg"/><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9525</xdr:colOff>
      <xdr:row>46</xdr:row>
      <xdr:rowOff>152400</xdr:rowOff>
    </xdr:to>
    <xdr:sp macro="" textlink="">
      <xdr:nvSpPr>
        <xdr:cNvPr id="2" name="Rectangle 1">
          <a:extLst>
            <a:ext uri="{FF2B5EF4-FFF2-40B4-BE49-F238E27FC236}">
              <a16:creationId xmlns:a16="http://schemas.microsoft.com/office/drawing/2014/main" id="{AB2A84FF-9E24-2EFE-F2B1-0BC85FD15A77}"/>
            </a:ext>
          </a:extLst>
        </xdr:cNvPr>
        <xdr:cNvSpPr/>
      </xdr:nvSpPr>
      <xdr:spPr>
        <a:xfrm>
          <a:off x="0" y="0"/>
          <a:ext cx="17687925" cy="847725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409574</xdr:colOff>
      <xdr:row>0</xdr:row>
      <xdr:rowOff>28574</xdr:rowOff>
    </xdr:from>
    <xdr:to>
      <xdr:col>28</xdr:col>
      <xdr:colOff>553574</xdr:colOff>
      <xdr:row>4</xdr:row>
      <xdr:rowOff>95249</xdr:rowOff>
    </xdr:to>
    <xdr:sp macro="" textlink="">
      <xdr:nvSpPr>
        <xdr:cNvPr id="3" name="Rectangle 2">
          <a:extLst>
            <a:ext uri="{FF2B5EF4-FFF2-40B4-BE49-F238E27FC236}">
              <a16:creationId xmlns:a16="http://schemas.microsoft.com/office/drawing/2014/main" id="{6D5882AB-C123-FAAE-D610-5D8E16973C9A}"/>
            </a:ext>
          </a:extLst>
        </xdr:cNvPr>
        <xdr:cNvSpPr/>
      </xdr:nvSpPr>
      <xdr:spPr>
        <a:xfrm>
          <a:off x="2847974" y="28574"/>
          <a:ext cx="14774400" cy="79057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rgbClr val="FFFF00"/>
              </a:solidFill>
              <a:latin typeface="Arial Black" panose="020B0A04020102020204" pitchFamily="34" charset="0"/>
            </a:rPr>
            <a:t>HR</a:t>
          </a:r>
          <a:r>
            <a:rPr lang="en-IN" sz="3600" b="1" baseline="0">
              <a:solidFill>
                <a:srgbClr val="FFFF00"/>
              </a:solidFill>
              <a:latin typeface="Arial Black" panose="020B0A04020102020204" pitchFamily="34" charset="0"/>
            </a:rPr>
            <a:t> WORKFORCE ANALYTICS DASHBOARD</a:t>
          </a:r>
          <a:endParaRPr lang="en-IN" sz="3600" b="1">
            <a:solidFill>
              <a:srgbClr val="FFFF00"/>
            </a:solidFill>
            <a:latin typeface="Arial Black" panose="020B0A04020102020204" pitchFamily="34" charset="0"/>
          </a:endParaRPr>
        </a:p>
      </xdr:txBody>
    </xdr:sp>
    <xdr:clientData/>
  </xdr:twoCellAnchor>
  <xdr:twoCellAnchor>
    <xdr:from>
      <xdr:col>4</xdr:col>
      <xdr:colOff>438149</xdr:colOff>
      <xdr:row>4</xdr:row>
      <xdr:rowOff>142875</xdr:rowOff>
    </xdr:from>
    <xdr:to>
      <xdr:col>28</xdr:col>
      <xdr:colOff>582149</xdr:colOff>
      <xdr:row>7</xdr:row>
      <xdr:rowOff>47625</xdr:rowOff>
    </xdr:to>
    <xdr:sp macro="" textlink="">
      <xdr:nvSpPr>
        <xdr:cNvPr id="4" name="Rectangle 3">
          <a:extLst>
            <a:ext uri="{FF2B5EF4-FFF2-40B4-BE49-F238E27FC236}">
              <a16:creationId xmlns:a16="http://schemas.microsoft.com/office/drawing/2014/main" id="{ECC854C7-26D3-9F5A-C8C1-5A421F01F4AC}"/>
            </a:ext>
          </a:extLst>
        </xdr:cNvPr>
        <xdr:cNvSpPr/>
      </xdr:nvSpPr>
      <xdr:spPr>
        <a:xfrm>
          <a:off x="2876549" y="866775"/>
          <a:ext cx="14774400" cy="44767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104774</xdr:colOff>
      <xdr:row>0</xdr:row>
      <xdr:rowOff>57151</xdr:rowOff>
    </xdr:from>
    <xdr:to>
      <xdr:col>4</xdr:col>
      <xdr:colOff>381000</xdr:colOff>
      <xdr:row>7</xdr:row>
      <xdr:rowOff>47625</xdr:rowOff>
    </xdr:to>
    <xdr:sp macro="" textlink="">
      <xdr:nvSpPr>
        <xdr:cNvPr id="5" name="Rectangle 4">
          <a:extLst>
            <a:ext uri="{FF2B5EF4-FFF2-40B4-BE49-F238E27FC236}">
              <a16:creationId xmlns:a16="http://schemas.microsoft.com/office/drawing/2014/main" id="{59C89637-9E91-F93F-2B4E-2A364F2DD2C4}"/>
            </a:ext>
          </a:extLst>
        </xdr:cNvPr>
        <xdr:cNvSpPr/>
      </xdr:nvSpPr>
      <xdr:spPr>
        <a:xfrm>
          <a:off x="104774" y="57151"/>
          <a:ext cx="2714626" cy="1257299"/>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114298</xdr:colOff>
      <xdr:row>7</xdr:row>
      <xdr:rowOff>133352</xdr:rowOff>
    </xdr:from>
    <xdr:to>
      <xdr:col>5</xdr:col>
      <xdr:colOff>590549</xdr:colOff>
      <xdr:row>13</xdr:row>
      <xdr:rowOff>47626</xdr:rowOff>
    </xdr:to>
    <xdr:sp macro="" textlink="">
      <xdr:nvSpPr>
        <xdr:cNvPr id="6" name="Rectangle 5">
          <a:extLst>
            <a:ext uri="{FF2B5EF4-FFF2-40B4-BE49-F238E27FC236}">
              <a16:creationId xmlns:a16="http://schemas.microsoft.com/office/drawing/2014/main" id="{1CB2A169-B285-F966-9345-4F0D3BC439DA}"/>
            </a:ext>
          </a:extLst>
        </xdr:cNvPr>
        <xdr:cNvSpPr/>
      </xdr:nvSpPr>
      <xdr:spPr>
        <a:xfrm>
          <a:off x="114298" y="1400177"/>
          <a:ext cx="3524251" cy="100012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66675</xdr:colOff>
      <xdr:row>7</xdr:row>
      <xdr:rowOff>123827</xdr:rowOff>
    </xdr:from>
    <xdr:to>
      <xdr:col>11</xdr:col>
      <xdr:colOff>428625</xdr:colOff>
      <xdr:row>13</xdr:row>
      <xdr:rowOff>38101</xdr:rowOff>
    </xdr:to>
    <xdr:sp macro="" textlink="">
      <xdr:nvSpPr>
        <xdr:cNvPr id="15" name="Rectangle 14">
          <a:extLst>
            <a:ext uri="{FF2B5EF4-FFF2-40B4-BE49-F238E27FC236}">
              <a16:creationId xmlns:a16="http://schemas.microsoft.com/office/drawing/2014/main" id="{52DE9636-10B1-7A90-EFA6-A8DA36D8F99F}"/>
            </a:ext>
          </a:extLst>
        </xdr:cNvPr>
        <xdr:cNvSpPr/>
      </xdr:nvSpPr>
      <xdr:spPr>
        <a:xfrm>
          <a:off x="3724275" y="1390652"/>
          <a:ext cx="3409950" cy="100012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504825</xdr:colOff>
      <xdr:row>7</xdr:row>
      <xdr:rowOff>114302</xdr:rowOff>
    </xdr:from>
    <xdr:to>
      <xdr:col>17</xdr:col>
      <xdr:colOff>285750</xdr:colOff>
      <xdr:row>13</xdr:row>
      <xdr:rowOff>28576</xdr:rowOff>
    </xdr:to>
    <xdr:sp macro="" textlink="">
      <xdr:nvSpPr>
        <xdr:cNvPr id="16" name="Rectangle 15">
          <a:extLst>
            <a:ext uri="{FF2B5EF4-FFF2-40B4-BE49-F238E27FC236}">
              <a16:creationId xmlns:a16="http://schemas.microsoft.com/office/drawing/2014/main" id="{65866ABF-6F53-10B2-13A3-D1524504159A}"/>
            </a:ext>
          </a:extLst>
        </xdr:cNvPr>
        <xdr:cNvSpPr/>
      </xdr:nvSpPr>
      <xdr:spPr>
        <a:xfrm>
          <a:off x="7210425" y="1381127"/>
          <a:ext cx="3438525" cy="100012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352425</xdr:colOff>
      <xdr:row>7</xdr:row>
      <xdr:rowOff>104777</xdr:rowOff>
    </xdr:from>
    <xdr:to>
      <xdr:col>23</xdr:col>
      <xdr:colOff>85725</xdr:colOff>
      <xdr:row>13</xdr:row>
      <xdr:rowOff>19051</xdr:rowOff>
    </xdr:to>
    <xdr:sp macro="" textlink="">
      <xdr:nvSpPr>
        <xdr:cNvPr id="17" name="Rectangle 16">
          <a:extLst>
            <a:ext uri="{FF2B5EF4-FFF2-40B4-BE49-F238E27FC236}">
              <a16:creationId xmlns:a16="http://schemas.microsoft.com/office/drawing/2014/main" id="{EDBE99BB-618F-F054-4717-D1FD7095F94E}"/>
            </a:ext>
          </a:extLst>
        </xdr:cNvPr>
        <xdr:cNvSpPr/>
      </xdr:nvSpPr>
      <xdr:spPr>
        <a:xfrm>
          <a:off x="10715625" y="1371602"/>
          <a:ext cx="3390900" cy="100012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142875</xdr:colOff>
      <xdr:row>7</xdr:row>
      <xdr:rowOff>123827</xdr:rowOff>
    </xdr:from>
    <xdr:to>
      <xdr:col>28</xdr:col>
      <xdr:colOff>552450</xdr:colOff>
      <xdr:row>13</xdr:row>
      <xdr:rowOff>38101</xdr:rowOff>
    </xdr:to>
    <xdr:sp macro="" textlink="">
      <xdr:nvSpPr>
        <xdr:cNvPr id="18" name="Rectangle 17">
          <a:extLst>
            <a:ext uri="{FF2B5EF4-FFF2-40B4-BE49-F238E27FC236}">
              <a16:creationId xmlns:a16="http://schemas.microsoft.com/office/drawing/2014/main" id="{8822E3BD-ED4B-335F-FC6F-7EA6B74EB089}"/>
            </a:ext>
          </a:extLst>
        </xdr:cNvPr>
        <xdr:cNvSpPr/>
      </xdr:nvSpPr>
      <xdr:spPr>
        <a:xfrm>
          <a:off x="14163675" y="1390652"/>
          <a:ext cx="3457575" cy="100012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114298</xdr:colOff>
      <xdr:row>13</xdr:row>
      <xdr:rowOff>171452</xdr:rowOff>
    </xdr:from>
    <xdr:to>
      <xdr:col>6</xdr:col>
      <xdr:colOff>542925</xdr:colOff>
      <xdr:row>30</xdr:row>
      <xdr:rowOff>28575</xdr:rowOff>
    </xdr:to>
    <xdr:sp macro="" textlink="">
      <xdr:nvSpPr>
        <xdr:cNvPr id="19" name="Rectangle 18">
          <a:extLst>
            <a:ext uri="{FF2B5EF4-FFF2-40B4-BE49-F238E27FC236}">
              <a16:creationId xmlns:a16="http://schemas.microsoft.com/office/drawing/2014/main" id="{FC5195BE-7054-EBCF-9719-8324C0EC1962}"/>
            </a:ext>
          </a:extLst>
        </xdr:cNvPr>
        <xdr:cNvSpPr/>
      </xdr:nvSpPr>
      <xdr:spPr>
        <a:xfrm>
          <a:off x="114298" y="2524127"/>
          <a:ext cx="4086227" cy="293369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38101</xdr:colOff>
      <xdr:row>14</xdr:row>
      <xdr:rowOff>19052</xdr:rowOff>
    </xdr:from>
    <xdr:to>
      <xdr:col>14</xdr:col>
      <xdr:colOff>285751</xdr:colOff>
      <xdr:row>30</xdr:row>
      <xdr:rowOff>57150</xdr:rowOff>
    </xdr:to>
    <xdr:sp macro="" textlink="">
      <xdr:nvSpPr>
        <xdr:cNvPr id="22" name="Rectangle 21">
          <a:extLst>
            <a:ext uri="{FF2B5EF4-FFF2-40B4-BE49-F238E27FC236}">
              <a16:creationId xmlns:a16="http://schemas.microsoft.com/office/drawing/2014/main" id="{51F0247B-9538-6C65-573E-1B2C24DE8B82}"/>
            </a:ext>
          </a:extLst>
        </xdr:cNvPr>
        <xdr:cNvSpPr/>
      </xdr:nvSpPr>
      <xdr:spPr>
        <a:xfrm>
          <a:off x="4305301" y="2552702"/>
          <a:ext cx="4514850" cy="293369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381001</xdr:colOff>
      <xdr:row>14</xdr:row>
      <xdr:rowOff>9527</xdr:rowOff>
    </xdr:from>
    <xdr:to>
      <xdr:col>21</xdr:col>
      <xdr:colOff>361951</xdr:colOff>
      <xdr:row>30</xdr:row>
      <xdr:rowOff>47625</xdr:rowOff>
    </xdr:to>
    <xdr:sp macro="" textlink="">
      <xdr:nvSpPr>
        <xdr:cNvPr id="23" name="Rectangle 22">
          <a:extLst>
            <a:ext uri="{FF2B5EF4-FFF2-40B4-BE49-F238E27FC236}">
              <a16:creationId xmlns:a16="http://schemas.microsoft.com/office/drawing/2014/main" id="{5E26F90F-8CD1-45CE-0233-19B73E43BAD2}"/>
            </a:ext>
          </a:extLst>
        </xdr:cNvPr>
        <xdr:cNvSpPr/>
      </xdr:nvSpPr>
      <xdr:spPr>
        <a:xfrm>
          <a:off x="8915401" y="2543177"/>
          <a:ext cx="4248150" cy="293369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428625</xdr:colOff>
      <xdr:row>13</xdr:row>
      <xdr:rowOff>161927</xdr:rowOff>
    </xdr:from>
    <xdr:to>
      <xdr:col>28</xdr:col>
      <xdr:colOff>571500</xdr:colOff>
      <xdr:row>30</xdr:row>
      <xdr:rowOff>19050</xdr:rowOff>
    </xdr:to>
    <xdr:sp macro="" textlink="">
      <xdr:nvSpPr>
        <xdr:cNvPr id="24" name="Rectangle 23">
          <a:extLst>
            <a:ext uri="{FF2B5EF4-FFF2-40B4-BE49-F238E27FC236}">
              <a16:creationId xmlns:a16="http://schemas.microsoft.com/office/drawing/2014/main" id="{57DD567E-37E7-D8A0-4838-AE50B064D996}"/>
            </a:ext>
          </a:extLst>
        </xdr:cNvPr>
        <xdr:cNvSpPr/>
      </xdr:nvSpPr>
      <xdr:spPr>
        <a:xfrm>
          <a:off x="13230225" y="2514602"/>
          <a:ext cx="4410075" cy="293369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123823</xdr:colOff>
      <xdr:row>30</xdr:row>
      <xdr:rowOff>66677</xdr:rowOff>
    </xdr:from>
    <xdr:to>
      <xdr:col>6</xdr:col>
      <xdr:colOff>552450</xdr:colOff>
      <xdr:row>45</xdr:row>
      <xdr:rowOff>161925</xdr:rowOff>
    </xdr:to>
    <xdr:sp macro="" textlink="">
      <xdr:nvSpPr>
        <xdr:cNvPr id="25" name="Rectangle 24">
          <a:extLst>
            <a:ext uri="{FF2B5EF4-FFF2-40B4-BE49-F238E27FC236}">
              <a16:creationId xmlns:a16="http://schemas.microsoft.com/office/drawing/2014/main" id="{47161698-EA81-23D0-0FEA-A451B55097D4}"/>
            </a:ext>
          </a:extLst>
        </xdr:cNvPr>
        <xdr:cNvSpPr/>
      </xdr:nvSpPr>
      <xdr:spPr>
        <a:xfrm>
          <a:off x="123823" y="5495927"/>
          <a:ext cx="4086227" cy="280987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47626</xdr:colOff>
      <xdr:row>30</xdr:row>
      <xdr:rowOff>123827</xdr:rowOff>
    </xdr:from>
    <xdr:to>
      <xdr:col>14</xdr:col>
      <xdr:colOff>295276</xdr:colOff>
      <xdr:row>46</xdr:row>
      <xdr:rowOff>38100</xdr:rowOff>
    </xdr:to>
    <xdr:sp macro="" textlink="">
      <xdr:nvSpPr>
        <xdr:cNvPr id="26" name="Rectangle 25">
          <a:extLst>
            <a:ext uri="{FF2B5EF4-FFF2-40B4-BE49-F238E27FC236}">
              <a16:creationId xmlns:a16="http://schemas.microsoft.com/office/drawing/2014/main" id="{F115C83C-D058-9A70-7E41-D9D945309B76}"/>
            </a:ext>
          </a:extLst>
        </xdr:cNvPr>
        <xdr:cNvSpPr/>
      </xdr:nvSpPr>
      <xdr:spPr>
        <a:xfrm>
          <a:off x="4314826" y="5553077"/>
          <a:ext cx="4514850" cy="280987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400050</xdr:colOff>
      <xdr:row>30</xdr:row>
      <xdr:rowOff>133352</xdr:rowOff>
    </xdr:from>
    <xdr:to>
      <xdr:col>21</xdr:col>
      <xdr:colOff>333375</xdr:colOff>
      <xdr:row>46</xdr:row>
      <xdr:rowOff>47625</xdr:rowOff>
    </xdr:to>
    <xdr:sp macro="" textlink="">
      <xdr:nvSpPr>
        <xdr:cNvPr id="27" name="Rectangle 26">
          <a:extLst>
            <a:ext uri="{FF2B5EF4-FFF2-40B4-BE49-F238E27FC236}">
              <a16:creationId xmlns:a16="http://schemas.microsoft.com/office/drawing/2014/main" id="{77704D4B-3494-77E9-AF1A-31A97D278411}"/>
            </a:ext>
          </a:extLst>
        </xdr:cNvPr>
        <xdr:cNvSpPr/>
      </xdr:nvSpPr>
      <xdr:spPr>
        <a:xfrm>
          <a:off x="8934450" y="5562602"/>
          <a:ext cx="4200525" cy="280987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419101</xdr:colOff>
      <xdr:row>30</xdr:row>
      <xdr:rowOff>114302</xdr:rowOff>
    </xdr:from>
    <xdr:to>
      <xdr:col>28</xdr:col>
      <xdr:colOff>552451</xdr:colOff>
      <xdr:row>46</xdr:row>
      <xdr:rowOff>28575</xdr:rowOff>
    </xdr:to>
    <xdr:sp macro="" textlink="">
      <xdr:nvSpPr>
        <xdr:cNvPr id="28" name="Rectangle 27">
          <a:extLst>
            <a:ext uri="{FF2B5EF4-FFF2-40B4-BE49-F238E27FC236}">
              <a16:creationId xmlns:a16="http://schemas.microsoft.com/office/drawing/2014/main" id="{632DB315-CCF2-D712-D0C9-17B857961E29}"/>
            </a:ext>
          </a:extLst>
        </xdr:cNvPr>
        <xdr:cNvSpPr/>
      </xdr:nvSpPr>
      <xdr:spPr>
        <a:xfrm>
          <a:off x="13220701" y="5543552"/>
          <a:ext cx="4400550" cy="280987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238125</xdr:colOff>
      <xdr:row>8</xdr:row>
      <xdr:rowOff>19050</xdr:rowOff>
    </xdr:from>
    <xdr:to>
      <xdr:col>3</xdr:col>
      <xdr:colOff>542925</xdr:colOff>
      <xdr:row>10</xdr:row>
      <xdr:rowOff>66675</xdr:rowOff>
    </xdr:to>
    <xdr:sp macro="" textlink="">
      <xdr:nvSpPr>
        <xdr:cNvPr id="29" name="Rectangle: Rounded Corners 28">
          <a:extLst>
            <a:ext uri="{FF2B5EF4-FFF2-40B4-BE49-F238E27FC236}">
              <a16:creationId xmlns:a16="http://schemas.microsoft.com/office/drawing/2014/main" id="{A889C276-49DF-3069-DC27-51C1493DB4BE}"/>
            </a:ext>
          </a:extLst>
        </xdr:cNvPr>
        <xdr:cNvSpPr/>
      </xdr:nvSpPr>
      <xdr:spPr>
        <a:xfrm>
          <a:off x="238125" y="1466850"/>
          <a:ext cx="2133600"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Total Employees</a:t>
          </a:r>
        </a:p>
      </xdr:txBody>
    </xdr:sp>
    <xdr:clientData/>
  </xdr:twoCellAnchor>
  <xdr:twoCellAnchor>
    <xdr:from>
      <xdr:col>6</xdr:col>
      <xdr:colOff>123824</xdr:colOff>
      <xdr:row>7</xdr:row>
      <xdr:rowOff>161925</xdr:rowOff>
    </xdr:from>
    <xdr:to>
      <xdr:col>10</xdr:col>
      <xdr:colOff>266699</xdr:colOff>
      <xdr:row>10</xdr:row>
      <xdr:rowOff>28575</xdr:rowOff>
    </xdr:to>
    <xdr:sp macro="" textlink="">
      <xdr:nvSpPr>
        <xdr:cNvPr id="30" name="Rectangle: Rounded Corners 29">
          <a:extLst>
            <a:ext uri="{FF2B5EF4-FFF2-40B4-BE49-F238E27FC236}">
              <a16:creationId xmlns:a16="http://schemas.microsoft.com/office/drawing/2014/main" id="{246D9CB6-1153-7198-7E5E-95D89E1DAEFE}"/>
            </a:ext>
          </a:extLst>
        </xdr:cNvPr>
        <xdr:cNvSpPr/>
      </xdr:nvSpPr>
      <xdr:spPr>
        <a:xfrm>
          <a:off x="3781424" y="1428750"/>
          <a:ext cx="2581275"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Avg</a:t>
          </a:r>
          <a:r>
            <a:rPr lang="en-IN" sz="1800" b="1" baseline="0">
              <a:solidFill>
                <a:schemeClr val="bg1"/>
              </a:solidFill>
            </a:rPr>
            <a:t> Performance Rating</a:t>
          </a:r>
          <a:endParaRPr lang="en-IN" sz="1800" b="1">
            <a:solidFill>
              <a:schemeClr val="bg1"/>
            </a:solidFill>
          </a:endParaRPr>
        </a:p>
      </xdr:txBody>
    </xdr:sp>
    <xdr:clientData/>
  </xdr:twoCellAnchor>
  <xdr:twoCellAnchor>
    <xdr:from>
      <xdr:col>11</xdr:col>
      <xdr:colOff>561975</xdr:colOff>
      <xdr:row>7</xdr:row>
      <xdr:rowOff>161925</xdr:rowOff>
    </xdr:from>
    <xdr:to>
      <xdr:col>15</xdr:col>
      <xdr:colOff>390525</xdr:colOff>
      <xdr:row>10</xdr:row>
      <xdr:rowOff>28575</xdr:rowOff>
    </xdr:to>
    <xdr:sp macro="" textlink="">
      <xdr:nvSpPr>
        <xdr:cNvPr id="31" name="Rectangle: Rounded Corners 30">
          <a:extLst>
            <a:ext uri="{FF2B5EF4-FFF2-40B4-BE49-F238E27FC236}">
              <a16:creationId xmlns:a16="http://schemas.microsoft.com/office/drawing/2014/main" id="{3EF18324-5700-D290-81D6-AE1C9BC1B6AA}"/>
            </a:ext>
          </a:extLst>
        </xdr:cNvPr>
        <xdr:cNvSpPr/>
      </xdr:nvSpPr>
      <xdr:spPr>
        <a:xfrm>
          <a:off x="7267575" y="1428750"/>
          <a:ext cx="2266950"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Part</a:t>
          </a:r>
          <a:r>
            <a:rPr lang="en-IN" sz="1800" b="1" baseline="0">
              <a:solidFill>
                <a:schemeClr val="bg1"/>
              </a:solidFill>
            </a:rPr>
            <a:t> Time Employees</a:t>
          </a:r>
          <a:endParaRPr lang="en-IN" sz="1800" b="1">
            <a:solidFill>
              <a:schemeClr val="bg1"/>
            </a:solidFill>
          </a:endParaRPr>
        </a:p>
      </xdr:txBody>
    </xdr:sp>
    <xdr:clientData/>
  </xdr:twoCellAnchor>
  <xdr:twoCellAnchor>
    <xdr:from>
      <xdr:col>17</xdr:col>
      <xdr:colOff>390525</xdr:colOff>
      <xdr:row>7</xdr:row>
      <xdr:rowOff>142875</xdr:rowOff>
    </xdr:from>
    <xdr:to>
      <xdr:col>21</xdr:col>
      <xdr:colOff>276225</xdr:colOff>
      <xdr:row>10</xdr:row>
      <xdr:rowOff>9525</xdr:rowOff>
    </xdr:to>
    <xdr:sp macro="" textlink="">
      <xdr:nvSpPr>
        <xdr:cNvPr id="32" name="Rectangle: Rounded Corners 31">
          <a:extLst>
            <a:ext uri="{FF2B5EF4-FFF2-40B4-BE49-F238E27FC236}">
              <a16:creationId xmlns:a16="http://schemas.microsoft.com/office/drawing/2014/main" id="{AEAE6BE1-3887-8E96-3F0C-66343BE2CDA0}"/>
            </a:ext>
          </a:extLst>
        </xdr:cNvPr>
        <xdr:cNvSpPr/>
      </xdr:nvSpPr>
      <xdr:spPr>
        <a:xfrm>
          <a:off x="10753725" y="1409700"/>
          <a:ext cx="2324100"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Full</a:t>
          </a:r>
          <a:r>
            <a:rPr lang="en-IN" sz="1800" b="1" baseline="0">
              <a:solidFill>
                <a:schemeClr val="bg1"/>
              </a:solidFill>
            </a:rPr>
            <a:t> Time Employees</a:t>
          </a:r>
          <a:endParaRPr lang="en-IN" sz="1800" b="1">
            <a:solidFill>
              <a:schemeClr val="bg1"/>
            </a:solidFill>
          </a:endParaRPr>
        </a:p>
      </xdr:txBody>
    </xdr:sp>
    <xdr:clientData/>
  </xdr:twoCellAnchor>
  <xdr:twoCellAnchor>
    <xdr:from>
      <xdr:col>23</xdr:col>
      <xdr:colOff>171449</xdr:colOff>
      <xdr:row>7</xdr:row>
      <xdr:rowOff>152400</xdr:rowOff>
    </xdr:from>
    <xdr:to>
      <xdr:col>26</xdr:col>
      <xdr:colOff>600074</xdr:colOff>
      <xdr:row>10</xdr:row>
      <xdr:rowOff>19050</xdr:rowOff>
    </xdr:to>
    <xdr:sp macro="" textlink="">
      <xdr:nvSpPr>
        <xdr:cNvPr id="33" name="Rectangle: Rounded Corners 32">
          <a:extLst>
            <a:ext uri="{FF2B5EF4-FFF2-40B4-BE49-F238E27FC236}">
              <a16:creationId xmlns:a16="http://schemas.microsoft.com/office/drawing/2014/main" id="{4BB43F6D-25DF-629D-2884-61B80808C15F}"/>
            </a:ext>
          </a:extLst>
        </xdr:cNvPr>
        <xdr:cNvSpPr/>
      </xdr:nvSpPr>
      <xdr:spPr>
        <a:xfrm>
          <a:off x="14192249" y="1419225"/>
          <a:ext cx="2257425"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Contract</a:t>
          </a:r>
          <a:r>
            <a:rPr lang="en-IN" sz="1800" b="1" baseline="0">
              <a:solidFill>
                <a:schemeClr val="bg1"/>
              </a:solidFill>
            </a:rPr>
            <a:t> Employees</a:t>
          </a:r>
          <a:endParaRPr lang="en-IN" sz="1800" b="1">
            <a:solidFill>
              <a:schemeClr val="bg1"/>
            </a:solidFill>
          </a:endParaRPr>
        </a:p>
      </xdr:txBody>
    </xdr:sp>
    <xdr:clientData/>
  </xdr:twoCellAnchor>
  <xdr:twoCellAnchor>
    <xdr:from>
      <xdr:col>6</xdr:col>
      <xdr:colOff>457200</xdr:colOff>
      <xdr:row>10</xdr:row>
      <xdr:rowOff>93134</xdr:rowOff>
    </xdr:from>
    <xdr:to>
      <xdr:col>9</xdr:col>
      <xdr:colOff>561975</xdr:colOff>
      <xdr:row>12</xdr:row>
      <xdr:rowOff>121708</xdr:rowOff>
    </xdr:to>
    <xdr:sp macro="" textlink="">
      <xdr:nvSpPr>
        <xdr:cNvPr id="35" name="Rectangle: Rounded Corners 34">
          <a:extLst>
            <a:ext uri="{FF2B5EF4-FFF2-40B4-BE49-F238E27FC236}">
              <a16:creationId xmlns:a16="http://schemas.microsoft.com/office/drawing/2014/main" id="{B4767E6E-B31F-1216-BAC3-765C7F911562}"/>
            </a:ext>
          </a:extLst>
        </xdr:cNvPr>
        <xdr:cNvSpPr/>
      </xdr:nvSpPr>
      <xdr:spPr>
        <a:xfrm>
          <a:off x="4140200" y="1892301"/>
          <a:ext cx="1946275" cy="388407"/>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3200" b="1">
              <a:solidFill>
                <a:srgbClr val="FFC000"/>
              </a:solidFill>
            </a:rPr>
            <a:t>2.9</a:t>
          </a:r>
        </a:p>
      </xdr:txBody>
    </xdr:sp>
    <xdr:clientData/>
  </xdr:twoCellAnchor>
  <xdr:twoCellAnchor>
    <xdr:from>
      <xdr:col>11</xdr:col>
      <xdr:colOff>581025</xdr:colOff>
      <xdr:row>10</xdr:row>
      <xdr:rowOff>142876</xdr:rowOff>
    </xdr:from>
    <xdr:to>
      <xdr:col>15</xdr:col>
      <xdr:colOff>76200</xdr:colOff>
      <xdr:row>12</xdr:row>
      <xdr:rowOff>171450</xdr:rowOff>
    </xdr:to>
    <xdr:sp macro="" textlink="'pivot tables'!E6">
      <xdr:nvSpPr>
        <xdr:cNvPr id="36" name="Rectangle: Rounded Corners 35">
          <a:extLst>
            <a:ext uri="{FF2B5EF4-FFF2-40B4-BE49-F238E27FC236}">
              <a16:creationId xmlns:a16="http://schemas.microsoft.com/office/drawing/2014/main" id="{82585704-D92D-FEBD-4304-4DB75DA74B45}"/>
            </a:ext>
          </a:extLst>
        </xdr:cNvPr>
        <xdr:cNvSpPr/>
      </xdr:nvSpPr>
      <xdr:spPr>
        <a:xfrm>
          <a:off x="7286625" y="1952626"/>
          <a:ext cx="1933575" cy="390524"/>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1AE33670-EC3D-41D3-B109-D94153A67139}" type="TxLink">
            <a:rPr lang="en-US" sz="3200" b="1" i="0" u="none" strike="noStrike">
              <a:solidFill>
                <a:srgbClr val="FFC000"/>
              </a:solidFill>
              <a:latin typeface="Aptos Narrow"/>
            </a:rPr>
            <a:pPr algn="ctr"/>
            <a:t>28</a:t>
          </a:fld>
          <a:endParaRPr lang="en-US" sz="16600" b="1">
            <a:solidFill>
              <a:srgbClr val="FFC000"/>
            </a:solidFill>
          </a:endParaRPr>
        </a:p>
      </xdr:txBody>
    </xdr:sp>
    <xdr:clientData/>
  </xdr:twoCellAnchor>
  <xdr:twoCellAnchor>
    <xdr:from>
      <xdr:col>17</xdr:col>
      <xdr:colOff>419100</xdr:colOff>
      <xdr:row>10</xdr:row>
      <xdr:rowOff>76201</xdr:rowOff>
    </xdr:from>
    <xdr:to>
      <xdr:col>20</xdr:col>
      <xdr:colOff>523875</xdr:colOff>
      <xdr:row>12</xdr:row>
      <xdr:rowOff>104775</xdr:rowOff>
    </xdr:to>
    <xdr:sp macro="" textlink="'pivot tables'!E7">
      <xdr:nvSpPr>
        <xdr:cNvPr id="37" name="Rectangle: Rounded Corners 36">
          <a:extLst>
            <a:ext uri="{FF2B5EF4-FFF2-40B4-BE49-F238E27FC236}">
              <a16:creationId xmlns:a16="http://schemas.microsoft.com/office/drawing/2014/main" id="{E448E97E-1252-054A-30FA-EC0381968E2E}"/>
            </a:ext>
          </a:extLst>
        </xdr:cNvPr>
        <xdr:cNvSpPr/>
      </xdr:nvSpPr>
      <xdr:spPr>
        <a:xfrm>
          <a:off x="10782300" y="1885951"/>
          <a:ext cx="1933575" cy="390524"/>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63914828-8EFF-45A8-93AC-8D97FDB69A13}" type="TxLink">
            <a:rPr lang="en-US" sz="2800" b="1" i="0" u="none" strike="noStrike">
              <a:solidFill>
                <a:srgbClr val="FFC000"/>
              </a:solidFill>
              <a:latin typeface="Aptos Narrow"/>
            </a:rPr>
            <a:pPr algn="ctr"/>
            <a:t>41</a:t>
          </a:fld>
          <a:endParaRPr lang="en-US" sz="13800" b="1">
            <a:solidFill>
              <a:srgbClr val="FFC000"/>
            </a:solidFill>
          </a:endParaRPr>
        </a:p>
      </xdr:txBody>
    </xdr:sp>
    <xdr:clientData/>
  </xdr:twoCellAnchor>
  <xdr:twoCellAnchor>
    <xdr:from>
      <xdr:col>23</xdr:col>
      <xdr:colOff>238125</xdr:colOff>
      <xdr:row>10</xdr:row>
      <xdr:rowOff>57151</xdr:rowOff>
    </xdr:from>
    <xdr:to>
      <xdr:col>26</xdr:col>
      <xdr:colOff>342900</xdr:colOff>
      <xdr:row>12</xdr:row>
      <xdr:rowOff>85725</xdr:rowOff>
    </xdr:to>
    <xdr:sp macro="" textlink="'pivot tables'!E8">
      <xdr:nvSpPr>
        <xdr:cNvPr id="38" name="Rectangle: Rounded Corners 37">
          <a:extLst>
            <a:ext uri="{FF2B5EF4-FFF2-40B4-BE49-F238E27FC236}">
              <a16:creationId xmlns:a16="http://schemas.microsoft.com/office/drawing/2014/main" id="{5340DB30-20CF-647F-9C6E-FF853DDC5986}"/>
            </a:ext>
          </a:extLst>
        </xdr:cNvPr>
        <xdr:cNvSpPr/>
      </xdr:nvSpPr>
      <xdr:spPr>
        <a:xfrm>
          <a:off x="14258925" y="1866901"/>
          <a:ext cx="1933575" cy="390524"/>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8E50BAB2-AAF6-4369-A5F1-B92211DCF999}" type="TxLink">
            <a:rPr lang="en-US" sz="2800" b="1" i="0" u="none" strike="noStrike">
              <a:solidFill>
                <a:srgbClr val="FFC000"/>
              </a:solidFill>
              <a:latin typeface="Aptos Narrow"/>
            </a:rPr>
            <a:pPr algn="ctr"/>
            <a:t>31</a:t>
          </a:fld>
          <a:endParaRPr lang="en-US" sz="13800" b="1">
            <a:solidFill>
              <a:srgbClr val="FFC000"/>
            </a:solidFill>
          </a:endParaRPr>
        </a:p>
      </xdr:txBody>
    </xdr:sp>
    <xdr:clientData/>
  </xdr:twoCellAnchor>
  <xdr:twoCellAnchor>
    <xdr:from>
      <xdr:col>0</xdr:col>
      <xdr:colOff>171450</xdr:colOff>
      <xdr:row>14</xdr:row>
      <xdr:rowOff>38100</xdr:rowOff>
    </xdr:from>
    <xdr:to>
      <xdr:col>3</xdr:col>
      <xdr:colOff>295275</xdr:colOff>
      <xdr:row>16</xdr:row>
      <xdr:rowOff>85725</xdr:rowOff>
    </xdr:to>
    <xdr:sp macro="" textlink="">
      <xdr:nvSpPr>
        <xdr:cNvPr id="39" name="Rectangle: Rounded Corners 38">
          <a:extLst>
            <a:ext uri="{FF2B5EF4-FFF2-40B4-BE49-F238E27FC236}">
              <a16:creationId xmlns:a16="http://schemas.microsoft.com/office/drawing/2014/main" id="{070DE01B-E41D-6747-4A0A-4C00EF5723F3}"/>
            </a:ext>
          </a:extLst>
        </xdr:cNvPr>
        <xdr:cNvSpPr/>
      </xdr:nvSpPr>
      <xdr:spPr>
        <a:xfrm>
          <a:off x="171450" y="2571750"/>
          <a:ext cx="1952625"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Skills</a:t>
          </a:r>
          <a:r>
            <a:rPr lang="en-IN" sz="1800" b="1" baseline="0">
              <a:solidFill>
                <a:srgbClr val="FFC000"/>
              </a:solidFill>
            </a:rPr>
            <a:t> Breakdown</a:t>
          </a:r>
          <a:endParaRPr lang="en-IN" sz="1800" b="1">
            <a:solidFill>
              <a:srgbClr val="FFC000"/>
            </a:solidFill>
          </a:endParaRPr>
        </a:p>
      </xdr:txBody>
    </xdr:sp>
    <xdr:clientData/>
  </xdr:twoCellAnchor>
  <xdr:twoCellAnchor>
    <xdr:from>
      <xdr:col>0</xdr:col>
      <xdr:colOff>114297</xdr:colOff>
      <xdr:row>16</xdr:row>
      <xdr:rowOff>152400</xdr:rowOff>
    </xdr:from>
    <xdr:to>
      <xdr:col>6</xdr:col>
      <xdr:colOff>523874</xdr:colOff>
      <xdr:row>30</xdr:row>
      <xdr:rowOff>57149</xdr:rowOff>
    </xdr:to>
    <xdr:graphicFrame macro="">
      <xdr:nvGraphicFramePr>
        <xdr:cNvPr id="43" name="Chart 42">
          <a:extLst>
            <a:ext uri="{FF2B5EF4-FFF2-40B4-BE49-F238E27FC236}">
              <a16:creationId xmlns:a16="http://schemas.microsoft.com/office/drawing/2014/main" id="{A07E44A5-6FA1-41F0-96A8-152EF3211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333375</xdr:colOff>
      <xdr:row>14</xdr:row>
      <xdr:rowOff>57150</xdr:rowOff>
    </xdr:from>
    <xdr:to>
      <xdr:col>9</xdr:col>
      <xdr:colOff>571499</xdr:colOff>
      <xdr:row>16</xdr:row>
      <xdr:rowOff>104775</xdr:rowOff>
    </xdr:to>
    <xdr:sp macro="" textlink="">
      <xdr:nvSpPr>
        <xdr:cNvPr id="44" name="Rectangle: Rounded Corners 43">
          <a:extLst>
            <a:ext uri="{FF2B5EF4-FFF2-40B4-BE49-F238E27FC236}">
              <a16:creationId xmlns:a16="http://schemas.microsoft.com/office/drawing/2014/main" id="{1FF1A4CC-0B3E-4B4B-2C1F-C0FF19C48D1F}"/>
            </a:ext>
          </a:extLst>
        </xdr:cNvPr>
        <xdr:cNvSpPr/>
      </xdr:nvSpPr>
      <xdr:spPr>
        <a:xfrm>
          <a:off x="4600575" y="2590800"/>
          <a:ext cx="1457324"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Gender</a:t>
          </a:r>
          <a:r>
            <a:rPr lang="en-IN" sz="1800" b="1" baseline="0">
              <a:solidFill>
                <a:srgbClr val="FFC000"/>
              </a:solidFill>
            </a:rPr>
            <a:t> Ratio</a:t>
          </a:r>
          <a:endParaRPr lang="en-IN" sz="1800" b="1">
            <a:solidFill>
              <a:srgbClr val="FFC000"/>
            </a:solidFill>
          </a:endParaRPr>
        </a:p>
      </xdr:txBody>
    </xdr:sp>
    <xdr:clientData/>
  </xdr:twoCellAnchor>
  <xdr:twoCellAnchor>
    <xdr:from>
      <xdr:col>7</xdr:col>
      <xdr:colOff>200025</xdr:colOff>
      <xdr:row>14</xdr:row>
      <xdr:rowOff>171450</xdr:rowOff>
    </xdr:from>
    <xdr:to>
      <xdr:col>7</xdr:col>
      <xdr:colOff>409575</xdr:colOff>
      <xdr:row>16</xdr:row>
      <xdr:rowOff>9525</xdr:rowOff>
    </xdr:to>
    <xdr:sp macro="" textlink="">
      <xdr:nvSpPr>
        <xdr:cNvPr id="45" name="Flowchart: Connector 44">
          <a:extLst>
            <a:ext uri="{FF2B5EF4-FFF2-40B4-BE49-F238E27FC236}">
              <a16:creationId xmlns:a16="http://schemas.microsoft.com/office/drawing/2014/main" id="{7B88DCAD-9D64-5240-5159-FD937C5F2C84}"/>
            </a:ext>
          </a:extLst>
        </xdr:cNvPr>
        <xdr:cNvSpPr/>
      </xdr:nvSpPr>
      <xdr:spPr>
        <a:xfrm>
          <a:off x="4467225" y="2705100"/>
          <a:ext cx="209550" cy="20002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7</xdr:col>
      <xdr:colOff>514350</xdr:colOff>
      <xdr:row>16</xdr:row>
      <xdr:rowOff>123825</xdr:rowOff>
    </xdr:from>
    <xdr:to>
      <xdr:col>9</xdr:col>
      <xdr:colOff>238125</xdr:colOff>
      <xdr:row>18</xdr:row>
      <xdr:rowOff>76201</xdr:rowOff>
    </xdr:to>
    <xdr:sp macro="" textlink="">
      <xdr:nvSpPr>
        <xdr:cNvPr id="46" name="Rectangle: Rounded Corners 45">
          <a:extLst>
            <a:ext uri="{FF2B5EF4-FFF2-40B4-BE49-F238E27FC236}">
              <a16:creationId xmlns:a16="http://schemas.microsoft.com/office/drawing/2014/main" id="{004DD956-8A8D-7D06-7AF2-D5848813F218}"/>
            </a:ext>
          </a:extLst>
        </xdr:cNvPr>
        <xdr:cNvSpPr/>
      </xdr:nvSpPr>
      <xdr:spPr>
        <a:xfrm>
          <a:off x="4781550" y="3019425"/>
          <a:ext cx="942975" cy="314326"/>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Female</a:t>
          </a:r>
        </a:p>
      </xdr:txBody>
    </xdr:sp>
    <xdr:clientData/>
  </xdr:twoCellAnchor>
  <xdr:twoCellAnchor>
    <xdr:from>
      <xdr:col>7</xdr:col>
      <xdr:colOff>428625</xdr:colOff>
      <xdr:row>17</xdr:row>
      <xdr:rowOff>47626</xdr:rowOff>
    </xdr:from>
    <xdr:to>
      <xdr:col>8</xdr:col>
      <xdr:colOff>0</xdr:colOff>
      <xdr:row>18</xdr:row>
      <xdr:rowOff>57151</xdr:rowOff>
    </xdr:to>
    <xdr:sp macro="" textlink="">
      <xdr:nvSpPr>
        <xdr:cNvPr id="47" name="Flowchart: Connector 46">
          <a:extLst>
            <a:ext uri="{FF2B5EF4-FFF2-40B4-BE49-F238E27FC236}">
              <a16:creationId xmlns:a16="http://schemas.microsoft.com/office/drawing/2014/main" id="{6C146748-F886-023F-9D32-4586AAAB9A1B}"/>
            </a:ext>
          </a:extLst>
        </xdr:cNvPr>
        <xdr:cNvSpPr/>
      </xdr:nvSpPr>
      <xdr:spPr>
        <a:xfrm>
          <a:off x="4695825" y="3124201"/>
          <a:ext cx="180975" cy="190500"/>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12</xdr:col>
      <xdr:colOff>261667</xdr:colOff>
      <xdr:row>16</xdr:row>
      <xdr:rowOff>185827</xdr:rowOff>
    </xdr:from>
    <xdr:to>
      <xdr:col>13</xdr:col>
      <xdr:colOff>488829</xdr:colOff>
      <xdr:row>18</xdr:row>
      <xdr:rowOff>100641</xdr:rowOff>
    </xdr:to>
    <xdr:sp macro="" textlink="">
      <xdr:nvSpPr>
        <xdr:cNvPr id="48" name="Rectangle: Rounded Corners 47">
          <a:extLst>
            <a:ext uri="{FF2B5EF4-FFF2-40B4-BE49-F238E27FC236}">
              <a16:creationId xmlns:a16="http://schemas.microsoft.com/office/drawing/2014/main" id="{74B72594-2227-25C3-3BD6-CC5E5F73B7AD}"/>
            </a:ext>
          </a:extLst>
        </xdr:cNvPr>
        <xdr:cNvSpPr/>
      </xdr:nvSpPr>
      <xdr:spPr>
        <a:xfrm>
          <a:off x="7507856" y="3176318"/>
          <a:ext cx="831011" cy="28862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Male</a:t>
          </a:r>
        </a:p>
      </xdr:txBody>
    </xdr:sp>
    <xdr:clientData/>
  </xdr:twoCellAnchor>
  <xdr:twoCellAnchor>
    <xdr:from>
      <xdr:col>12</xdr:col>
      <xdr:colOff>86265</xdr:colOff>
      <xdr:row>17</xdr:row>
      <xdr:rowOff>57509</xdr:rowOff>
    </xdr:from>
    <xdr:to>
      <xdr:col>12</xdr:col>
      <xdr:colOff>330679</xdr:colOff>
      <xdr:row>18</xdr:row>
      <xdr:rowOff>158150</xdr:rowOff>
    </xdr:to>
    <xdr:sp macro="" textlink="">
      <xdr:nvSpPr>
        <xdr:cNvPr id="49" name="Flowchart: Connector 48">
          <a:extLst>
            <a:ext uri="{FF2B5EF4-FFF2-40B4-BE49-F238E27FC236}">
              <a16:creationId xmlns:a16="http://schemas.microsoft.com/office/drawing/2014/main" id="{DB7E2B8E-BBDA-640A-11C6-756F1D5CC57D}"/>
            </a:ext>
          </a:extLst>
        </xdr:cNvPr>
        <xdr:cNvSpPr/>
      </xdr:nvSpPr>
      <xdr:spPr>
        <a:xfrm flipH="1">
          <a:off x="7332454" y="3234905"/>
          <a:ext cx="244414" cy="287547"/>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7</xdr:col>
      <xdr:colOff>47625</xdr:colOff>
      <xdr:row>19</xdr:row>
      <xdr:rowOff>76200</xdr:rowOff>
    </xdr:from>
    <xdr:to>
      <xdr:col>10</xdr:col>
      <xdr:colOff>228599</xdr:colOff>
      <xdr:row>29</xdr:row>
      <xdr:rowOff>171451</xdr:rowOff>
    </xdr:to>
    <xdr:graphicFrame macro="">
      <xdr:nvGraphicFramePr>
        <xdr:cNvPr id="51" name="Chart 50">
          <a:extLst>
            <a:ext uri="{FF2B5EF4-FFF2-40B4-BE49-F238E27FC236}">
              <a16:creationId xmlns:a16="http://schemas.microsoft.com/office/drawing/2014/main" id="{0A53BFFF-D508-423E-AAF8-8FCF90807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457200</xdr:colOff>
      <xdr:row>18</xdr:row>
      <xdr:rowOff>171449</xdr:rowOff>
    </xdr:from>
    <xdr:to>
      <xdr:col>14</xdr:col>
      <xdr:colOff>190500</xdr:colOff>
      <xdr:row>29</xdr:row>
      <xdr:rowOff>95249</xdr:rowOff>
    </xdr:to>
    <xdr:graphicFrame macro="">
      <xdr:nvGraphicFramePr>
        <xdr:cNvPr id="54" name="Chart 53">
          <a:extLst>
            <a:ext uri="{FF2B5EF4-FFF2-40B4-BE49-F238E27FC236}">
              <a16:creationId xmlns:a16="http://schemas.microsoft.com/office/drawing/2014/main" id="{63395A3D-05C8-4CF5-BB25-E644DF913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114299</xdr:colOff>
      <xdr:row>25</xdr:row>
      <xdr:rowOff>95249</xdr:rowOff>
    </xdr:from>
    <xdr:to>
      <xdr:col>9</xdr:col>
      <xdr:colOff>190500</xdr:colOff>
      <xdr:row>27</xdr:row>
      <xdr:rowOff>57150</xdr:rowOff>
    </xdr:to>
    <xdr:sp macro="" textlink="'pivot tables'!Q15">
      <xdr:nvSpPr>
        <xdr:cNvPr id="55" name="Rectangle: Rounded Corners 54">
          <a:extLst>
            <a:ext uri="{FF2B5EF4-FFF2-40B4-BE49-F238E27FC236}">
              <a16:creationId xmlns:a16="http://schemas.microsoft.com/office/drawing/2014/main" id="{A4846982-1E7B-49AB-6580-E5362E0BCBAA}"/>
            </a:ext>
          </a:extLst>
        </xdr:cNvPr>
        <xdr:cNvSpPr/>
      </xdr:nvSpPr>
      <xdr:spPr>
        <a:xfrm>
          <a:off x="4991099" y="4619624"/>
          <a:ext cx="685801" cy="323851"/>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D68EE12-142C-4B68-A4DD-69ECF24FE8F3}" type="TxLink">
            <a:rPr lang="en-US" sz="1800" b="1" i="0" u="none" strike="noStrike">
              <a:solidFill>
                <a:schemeClr val="bg1"/>
              </a:solidFill>
              <a:latin typeface="Aptos Narrow"/>
            </a:rPr>
            <a:pPr algn="ctr"/>
            <a:t>49%</a:t>
          </a:fld>
          <a:endParaRPr lang="en-IN" sz="3200" b="1">
            <a:solidFill>
              <a:schemeClr val="bg1"/>
            </a:solidFill>
          </a:endParaRPr>
        </a:p>
      </xdr:txBody>
    </xdr:sp>
    <xdr:clientData/>
  </xdr:twoCellAnchor>
  <xdr:twoCellAnchor>
    <xdr:from>
      <xdr:col>12</xdr:col>
      <xdr:colOff>276225</xdr:colOff>
      <xdr:row>25</xdr:row>
      <xdr:rowOff>66674</xdr:rowOff>
    </xdr:from>
    <xdr:to>
      <xdr:col>13</xdr:col>
      <xdr:colOff>257175</xdr:colOff>
      <xdr:row>27</xdr:row>
      <xdr:rowOff>38099</xdr:rowOff>
    </xdr:to>
    <xdr:sp macro="" textlink="'pivot tables'!Q14">
      <xdr:nvSpPr>
        <xdr:cNvPr id="56" name="Rectangle: Rounded Corners 55">
          <a:extLst>
            <a:ext uri="{FF2B5EF4-FFF2-40B4-BE49-F238E27FC236}">
              <a16:creationId xmlns:a16="http://schemas.microsoft.com/office/drawing/2014/main" id="{FAA1B57B-E40D-D6B6-735A-8C58301F4559}"/>
            </a:ext>
          </a:extLst>
        </xdr:cNvPr>
        <xdr:cNvSpPr/>
      </xdr:nvSpPr>
      <xdr:spPr>
        <a:xfrm>
          <a:off x="7591425" y="4591049"/>
          <a:ext cx="590550" cy="3333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04D4AB5-AD6E-4B74-BF65-0C71DF58DE13}" type="TxLink">
            <a:rPr lang="en-US" sz="1600" b="1" i="0" u="none" strike="noStrike">
              <a:solidFill>
                <a:schemeClr val="bg1"/>
              </a:solidFill>
              <a:latin typeface="Aptos Narrow"/>
            </a:rPr>
            <a:pPr algn="ctr"/>
            <a:t>51%</a:t>
          </a:fld>
          <a:endParaRPr lang="en-IN" sz="2800" b="1">
            <a:solidFill>
              <a:schemeClr val="bg1"/>
            </a:solidFill>
          </a:endParaRPr>
        </a:p>
      </xdr:txBody>
    </xdr:sp>
    <xdr:clientData/>
  </xdr:twoCellAnchor>
  <xdr:twoCellAnchor>
    <xdr:from>
      <xdr:col>7</xdr:col>
      <xdr:colOff>247650</xdr:colOff>
      <xdr:row>31</xdr:row>
      <xdr:rowOff>28575</xdr:rowOff>
    </xdr:from>
    <xdr:to>
      <xdr:col>10</xdr:col>
      <xdr:colOff>0</xdr:colOff>
      <xdr:row>33</xdr:row>
      <xdr:rowOff>76200</xdr:rowOff>
    </xdr:to>
    <xdr:sp macro="" textlink="">
      <xdr:nvSpPr>
        <xdr:cNvPr id="57" name="Rectangle: Rounded Corners 56">
          <a:extLst>
            <a:ext uri="{FF2B5EF4-FFF2-40B4-BE49-F238E27FC236}">
              <a16:creationId xmlns:a16="http://schemas.microsoft.com/office/drawing/2014/main" id="{B78F4F3B-A469-CE3D-0D4F-1A2E0D157B60}"/>
            </a:ext>
          </a:extLst>
        </xdr:cNvPr>
        <xdr:cNvSpPr/>
      </xdr:nvSpPr>
      <xdr:spPr>
        <a:xfrm>
          <a:off x="4514850" y="5638800"/>
          <a:ext cx="1581150"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Gender</a:t>
          </a:r>
          <a:r>
            <a:rPr lang="en-IN" sz="1800" b="1" baseline="0">
              <a:solidFill>
                <a:srgbClr val="FFC000"/>
              </a:solidFill>
            </a:rPr>
            <a:t> Range</a:t>
          </a:r>
          <a:endParaRPr lang="en-IN" sz="1800" b="1">
            <a:solidFill>
              <a:srgbClr val="FFC000"/>
            </a:solidFill>
          </a:endParaRPr>
        </a:p>
      </xdr:txBody>
    </xdr:sp>
    <xdr:clientData/>
  </xdr:twoCellAnchor>
  <xdr:twoCellAnchor>
    <xdr:from>
      <xdr:col>7</xdr:col>
      <xdr:colOff>114300</xdr:colOff>
      <xdr:row>31</xdr:row>
      <xdr:rowOff>142875</xdr:rowOff>
    </xdr:from>
    <xdr:to>
      <xdr:col>7</xdr:col>
      <xdr:colOff>323850</xdr:colOff>
      <xdr:row>32</xdr:row>
      <xdr:rowOff>161925</xdr:rowOff>
    </xdr:to>
    <xdr:sp macro="" textlink="">
      <xdr:nvSpPr>
        <xdr:cNvPr id="58" name="Flowchart: Connector 57">
          <a:extLst>
            <a:ext uri="{FF2B5EF4-FFF2-40B4-BE49-F238E27FC236}">
              <a16:creationId xmlns:a16="http://schemas.microsoft.com/office/drawing/2014/main" id="{68A18CD6-B2E2-8FF8-6458-80CEA9D82E2E}"/>
            </a:ext>
          </a:extLst>
        </xdr:cNvPr>
        <xdr:cNvSpPr/>
      </xdr:nvSpPr>
      <xdr:spPr>
        <a:xfrm>
          <a:off x="4381500" y="5753100"/>
          <a:ext cx="209550" cy="20002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7</xdr:col>
      <xdr:colOff>133351</xdr:colOff>
      <xdr:row>33</xdr:row>
      <xdr:rowOff>9524</xdr:rowOff>
    </xdr:from>
    <xdr:to>
      <xdr:col>13</xdr:col>
      <xdr:colOff>381001</xdr:colOff>
      <xdr:row>35</xdr:row>
      <xdr:rowOff>66675</xdr:rowOff>
    </xdr:to>
    <xdr:sp macro="" textlink="">
      <xdr:nvSpPr>
        <xdr:cNvPr id="59" name="Rectangle: Rounded Corners 58">
          <a:extLst>
            <a:ext uri="{FF2B5EF4-FFF2-40B4-BE49-F238E27FC236}">
              <a16:creationId xmlns:a16="http://schemas.microsoft.com/office/drawing/2014/main" id="{B14AD2E2-A4C5-AB8B-2B3E-1FAD5467FAA1}"/>
            </a:ext>
          </a:extLst>
        </xdr:cNvPr>
        <xdr:cNvSpPr/>
      </xdr:nvSpPr>
      <xdr:spPr>
        <a:xfrm>
          <a:off x="4400551" y="5981699"/>
          <a:ext cx="3905250" cy="419101"/>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bg1"/>
              </a:solidFill>
            </a:rPr>
            <a:t>No.of</a:t>
          </a:r>
          <a:r>
            <a:rPr lang="en-IN" sz="1400" b="0" i="0" baseline="0">
              <a:solidFill>
                <a:schemeClr val="bg1"/>
              </a:solidFill>
            </a:rPr>
            <a:t> employees according to age range and gender</a:t>
          </a:r>
          <a:endParaRPr lang="en-IN" sz="1400" b="0" i="0">
            <a:solidFill>
              <a:schemeClr val="bg1"/>
            </a:solidFill>
          </a:endParaRPr>
        </a:p>
      </xdr:txBody>
    </xdr:sp>
    <xdr:clientData/>
  </xdr:twoCellAnchor>
  <xdr:twoCellAnchor>
    <xdr:from>
      <xdr:col>7</xdr:col>
      <xdr:colOff>47626</xdr:colOff>
      <xdr:row>35</xdr:row>
      <xdr:rowOff>152400</xdr:rowOff>
    </xdr:from>
    <xdr:to>
      <xdr:col>14</xdr:col>
      <xdr:colOff>352426</xdr:colOff>
      <xdr:row>45</xdr:row>
      <xdr:rowOff>152401</xdr:rowOff>
    </xdr:to>
    <xdr:graphicFrame macro="">
      <xdr:nvGraphicFramePr>
        <xdr:cNvPr id="61" name="Chart 60">
          <a:extLst>
            <a:ext uri="{FF2B5EF4-FFF2-40B4-BE49-F238E27FC236}">
              <a16:creationId xmlns:a16="http://schemas.microsoft.com/office/drawing/2014/main" id="{86B7F2FD-0ADE-4470-8403-676D69632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438150</xdr:colOff>
      <xdr:row>35</xdr:row>
      <xdr:rowOff>0</xdr:rowOff>
    </xdr:from>
    <xdr:to>
      <xdr:col>9</xdr:col>
      <xdr:colOff>161925</xdr:colOff>
      <xdr:row>36</xdr:row>
      <xdr:rowOff>133351</xdr:rowOff>
    </xdr:to>
    <xdr:sp macro="" textlink="">
      <xdr:nvSpPr>
        <xdr:cNvPr id="62" name="Rectangle: Rounded Corners 61">
          <a:extLst>
            <a:ext uri="{FF2B5EF4-FFF2-40B4-BE49-F238E27FC236}">
              <a16:creationId xmlns:a16="http://schemas.microsoft.com/office/drawing/2014/main" id="{A5A3BB43-B1F7-9E89-51AD-655D4A3DEB32}"/>
            </a:ext>
          </a:extLst>
        </xdr:cNvPr>
        <xdr:cNvSpPr/>
      </xdr:nvSpPr>
      <xdr:spPr>
        <a:xfrm>
          <a:off x="4705350" y="6334125"/>
          <a:ext cx="942975" cy="314326"/>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Female</a:t>
          </a:r>
        </a:p>
      </xdr:txBody>
    </xdr:sp>
    <xdr:clientData/>
  </xdr:twoCellAnchor>
  <xdr:twoCellAnchor>
    <xdr:from>
      <xdr:col>7</xdr:col>
      <xdr:colOff>352425</xdr:colOff>
      <xdr:row>35</xdr:row>
      <xdr:rowOff>104776</xdr:rowOff>
    </xdr:from>
    <xdr:to>
      <xdr:col>7</xdr:col>
      <xdr:colOff>533400</xdr:colOff>
      <xdr:row>36</xdr:row>
      <xdr:rowOff>114301</xdr:rowOff>
    </xdr:to>
    <xdr:sp macro="" textlink="">
      <xdr:nvSpPr>
        <xdr:cNvPr id="63" name="Flowchart: Connector 62">
          <a:extLst>
            <a:ext uri="{FF2B5EF4-FFF2-40B4-BE49-F238E27FC236}">
              <a16:creationId xmlns:a16="http://schemas.microsoft.com/office/drawing/2014/main" id="{0A89D317-467F-61E6-7F51-20E40D6629AE}"/>
            </a:ext>
          </a:extLst>
        </xdr:cNvPr>
        <xdr:cNvSpPr/>
      </xdr:nvSpPr>
      <xdr:spPr>
        <a:xfrm>
          <a:off x="4619625" y="6438901"/>
          <a:ext cx="180975" cy="190500"/>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12</xdr:col>
      <xdr:colOff>431320</xdr:colOff>
      <xdr:row>34</xdr:row>
      <xdr:rowOff>86265</xdr:rowOff>
    </xdr:from>
    <xdr:to>
      <xdr:col>13</xdr:col>
      <xdr:colOff>575093</xdr:colOff>
      <xdr:row>37</xdr:row>
      <xdr:rowOff>129397</xdr:rowOff>
    </xdr:to>
    <xdr:sp macro="" textlink="">
      <xdr:nvSpPr>
        <xdr:cNvPr id="64" name="Rectangle: Rounded Corners 63">
          <a:extLst>
            <a:ext uri="{FF2B5EF4-FFF2-40B4-BE49-F238E27FC236}">
              <a16:creationId xmlns:a16="http://schemas.microsoft.com/office/drawing/2014/main" id="{8BBB846D-02DD-50AD-DDB1-5CD0BF3856AD}"/>
            </a:ext>
          </a:extLst>
        </xdr:cNvPr>
        <xdr:cNvSpPr/>
      </xdr:nvSpPr>
      <xdr:spPr>
        <a:xfrm>
          <a:off x="7677509" y="6441057"/>
          <a:ext cx="747622" cy="603849"/>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Male</a:t>
          </a:r>
        </a:p>
      </xdr:txBody>
    </xdr:sp>
    <xdr:clientData/>
  </xdr:twoCellAnchor>
  <xdr:twoCellAnchor>
    <xdr:from>
      <xdr:col>12</xdr:col>
      <xdr:colOff>228600</xdr:colOff>
      <xdr:row>35</xdr:row>
      <xdr:rowOff>66676</xdr:rowOff>
    </xdr:from>
    <xdr:to>
      <xdr:col>12</xdr:col>
      <xdr:colOff>409575</xdr:colOff>
      <xdr:row>36</xdr:row>
      <xdr:rowOff>76201</xdr:rowOff>
    </xdr:to>
    <xdr:sp macro="" textlink="">
      <xdr:nvSpPr>
        <xdr:cNvPr id="65" name="Flowchart: Connector 64">
          <a:extLst>
            <a:ext uri="{FF2B5EF4-FFF2-40B4-BE49-F238E27FC236}">
              <a16:creationId xmlns:a16="http://schemas.microsoft.com/office/drawing/2014/main" id="{791DF29E-ED2D-4109-67E9-4712AF9B3C2B}"/>
            </a:ext>
          </a:extLst>
        </xdr:cNvPr>
        <xdr:cNvSpPr/>
      </xdr:nvSpPr>
      <xdr:spPr>
        <a:xfrm>
          <a:off x="7543800" y="6400801"/>
          <a:ext cx="180975" cy="190500"/>
        </a:xfrm>
        <a:prstGeom prst="flowChartConnector">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0</xdr:col>
      <xdr:colOff>314325</xdr:colOff>
      <xdr:row>30</xdr:row>
      <xdr:rowOff>152400</xdr:rowOff>
    </xdr:from>
    <xdr:to>
      <xdr:col>3</xdr:col>
      <xdr:colOff>66675</xdr:colOff>
      <xdr:row>33</xdr:row>
      <xdr:rowOff>19050</xdr:rowOff>
    </xdr:to>
    <xdr:sp macro="" textlink="">
      <xdr:nvSpPr>
        <xdr:cNvPr id="66" name="Rectangle: Rounded Corners 65">
          <a:extLst>
            <a:ext uri="{FF2B5EF4-FFF2-40B4-BE49-F238E27FC236}">
              <a16:creationId xmlns:a16="http://schemas.microsoft.com/office/drawing/2014/main" id="{E75A17AF-60BF-EEA1-87E4-37CA978F2F70}"/>
            </a:ext>
          </a:extLst>
        </xdr:cNvPr>
        <xdr:cNvSpPr/>
      </xdr:nvSpPr>
      <xdr:spPr>
        <a:xfrm>
          <a:off x="314325" y="5581650"/>
          <a:ext cx="1581150"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FFC000"/>
              </a:solidFill>
            </a:rPr>
            <a:t>Work</a:t>
          </a:r>
          <a:r>
            <a:rPr lang="en-IN" sz="1800" b="1" baseline="0">
              <a:solidFill>
                <a:srgbClr val="FFC000"/>
              </a:solidFill>
            </a:rPr>
            <a:t> Location</a:t>
          </a:r>
          <a:endParaRPr lang="en-IN" sz="1800" b="1">
            <a:solidFill>
              <a:srgbClr val="FFC000"/>
            </a:solidFill>
          </a:endParaRPr>
        </a:p>
      </xdr:txBody>
    </xdr:sp>
    <xdr:clientData/>
  </xdr:twoCellAnchor>
  <xdr:twoCellAnchor>
    <xdr:from>
      <xdr:col>0</xdr:col>
      <xdr:colOff>180975</xdr:colOff>
      <xdr:row>31</xdr:row>
      <xdr:rowOff>85725</xdr:rowOff>
    </xdr:from>
    <xdr:to>
      <xdr:col>0</xdr:col>
      <xdr:colOff>390525</xdr:colOff>
      <xdr:row>32</xdr:row>
      <xdr:rowOff>104775</xdr:rowOff>
    </xdr:to>
    <xdr:sp macro="" textlink="">
      <xdr:nvSpPr>
        <xdr:cNvPr id="67" name="Flowchart: Connector 66">
          <a:extLst>
            <a:ext uri="{FF2B5EF4-FFF2-40B4-BE49-F238E27FC236}">
              <a16:creationId xmlns:a16="http://schemas.microsoft.com/office/drawing/2014/main" id="{C723E541-D739-5507-6AFB-7FA39634029B}"/>
            </a:ext>
          </a:extLst>
        </xdr:cNvPr>
        <xdr:cNvSpPr/>
      </xdr:nvSpPr>
      <xdr:spPr>
        <a:xfrm>
          <a:off x="180975" y="5695950"/>
          <a:ext cx="209550" cy="20002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0</xdr:col>
      <xdr:colOff>142876</xdr:colOff>
      <xdr:row>32</xdr:row>
      <xdr:rowOff>133349</xdr:rowOff>
    </xdr:from>
    <xdr:to>
      <xdr:col>6</xdr:col>
      <xdr:colOff>390526</xdr:colOff>
      <xdr:row>35</xdr:row>
      <xdr:rowOff>9525</xdr:rowOff>
    </xdr:to>
    <xdr:sp macro="" textlink="">
      <xdr:nvSpPr>
        <xdr:cNvPr id="68" name="Rectangle: Rounded Corners 67">
          <a:extLst>
            <a:ext uri="{FF2B5EF4-FFF2-40B4-BE49-F238E27FC236}">
              <a16:creationId xmlns:a16="http://schemas.microsoft.com/office/drawing/2014/main" id="{905F80C2-AB06-14B8-6FFC-767F93F213DB}"/>
            </a:ext>
          </a:extLst>
        </xdr:cNvPr>
        <xdr:cNvSpPr/>
      </xdr:nvSpPr>
      <xdr:spPr>
        <a:xfrm>
          <a:off x="142876" y="5924549"/>
          <a:ext cx="3905250" cy="419101"/>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bg1"/>
              </a:solidFill>
            </a:rPr>
            <a:t>Employees</a:t>
          </a:r>
          <a:r>
            <a:rPr lang="en-IN" sz="1400" b="0" i="0" baseline="0">
              <a:solidFill>
                <a:schemeClr val="bg1"/>
              </a:solidFill>
            </a:rPr>
            <a:t> work location</a:t>
          </a:r>
          <a:endParaRPr lang="en-IN" sz="1400" b="0" i="0">
            <a:solidFill>
              <a:schemeClr val="bg1"/>
            </a:solidFill>
          </a:endParaRPr>
        </a:p>
      </xdr:txBody>
    </xdr:sp>
    <xdr:clientData/>
  </xdr:twoCellAnchor>
  <xdr:twoCellAnchor>
    <xdr:from>
      <xdr:col>0</xdr:col>
      <xdr:colOff>123823</xdr:colOff>
      <xdr:row>35</xdr:row>
      <xdr:rowOff>85724</xdr:rowOff>
    </xdr:from>
    <xdr:to>
      <xdr:col>6</xdr:col>
      <xdr:colOff>523875</xdr:colOff>
      <xdr:row>45</xdr:row>
      <xdr:rowOff>133349</xdr:rowOff>
    </xdr:to>
    <xdr:graphicFrame macro="">
      <xdr:nvGraphicFramePr>
        <xdr:cNvPr id="70" name="Chart 69">
          <a:extLst>
            <a:ext uri="{FF2B5EF4-FFF2-40B4-BE49-F238E27FC236}">
              <a16:creationId xmlns:a16="http://schemas.microsoft.com/office/drawing/2014/main" id="{C89654F6-B4D3-4025-9B1B-A871249B0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247650</xdr:colOff>
      <xdr:row>35</xdr:row>
      <xdr:rowOff>28575</xdr:rowOff>
    </xdr:from>
    <xdr:to>
      <xdr:col>2</xdr:col>
      <xdr:colOff>409575</xdr:colOff>
      <xdr:row>36</xdr:row>
      <xdr:rowOff>104775</xdr:rowOff>
    </xdr:to>
    <xdr:sp macro="" textlink="">
      <xdr:nvSpPr>
        <xdr:cNvPr id="71" name="Rectangle: Rounded Corners 70">
          <a:extLst>
            <a:ext uri="{FF2B5EF4-FFF2-40B4-BE49-F238E27FC236}">
              <a16:creationId xmlns:a16="http://schemas.microsoft.com/office/drawing/2014/main" id="{0E03F860-0BFF-2B9B-4DA7-8B4BADBD60F3}"/>
            </a:ext>
          </a:extLst>
        </xdr:cNvPr>
        <xdr:cNvSpPr/>
      </xdr:nvSpPr>
      <xdr:spPr>
        <a:xfrm>
          <a:off x="247650" y="6362700"/>
          <a:ext cx="1381125" cy="2571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rPr>
            <a:t>Branch</a:t>
          </a:r>
          <a:r>
            <a:rPr lang="en-IN" sz="1400" b="1" i="0" baseline="0">
              <a:solidFill>
                <a:schemeClr val="bg1"/>
              </a:solidFill>
            </a:rPr>
            <a:t> Office</a:t>
          </a:r>
          <a:endParaRPr lang="en-IN" sz="1400" b="1" i="0">
            <a:solidFill>
              <a:schemeClr val="bg1"/>
            </a:solidFill>
          </a:endParaRPr>
        </a:p>
      </xdr:txBody>
    </xdr:sp>
    <xdr:clientData/>
  </xdr:twoCellAnchor>
  <xdr:twoCellAnchor>
    <xdr:from>
      <xdr:col>0</xdr:col>
      <xdr:colOff>238125</xdr:colOff>
      <xdr:row>38</xdr:row>
      <xdr:rowOff>76200</xdr:rowOff>
    </xdr:from>
    <xdr:to>
      <xdr:col>2</xdr:col>
      <xdr:colOff>400050</xdr:colOff>
      <xdr:row>39</xdr:row>
      <xdr:rowOff>104775</xdr:rowOff>
    </xdr:to>
    <xdr:sp macro="" textlink="">
      <xdr:nvSpPr>
        <xdr:cNvPr id="72" name="Rectangle: Rounded Corners 71">
          <a:extLst>
            <a:ext uri="{FF2B5EF4-FFF2-40B4-BE49-F238E27FC236}">
              <a16:creationId xmlns:a16="http://schemas.microsoft.com/office/drawing/2014/main" id="{CD16213E-2D8D-080D-CC38-9C115074FC4B}"/>
            </a:ext>
          </a:extLst>
        </xdr:cNvPr>
        <xdr:cNvSpPr/>
      </xdr:nvSpPr>
      <xdr:spPr>
        <a:xfrm>
          <a:off x="238125" y="6953250"/>
          <a:ext cx="1381125" cy="20955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i="0">
              <a:solidFill>
                <a:schemeClr val="bg1"/>
              </a:solidFill>
            </a:rPr>
            <a:t>Head</a:t>
          </a:r>
          <a:r>
            <a:rPr lang="en-IN" sz="1400" b="1" i="0" baseline="0">
              <a:solidFill>
                <a:schemeClr val="bg1"/>
              </a:solidFill>
            </a:rPr>
            <a:t> Office</a:t>
          </a:r>
          <a:endParaRPr lang="en-IN" sz="1400" b="1" i="0">
            <a:solidFill>
              <a:schemeClr val="bg1"/>
            </a:solidFill>
          </a:endParaRPr>
        </a:p>
      </xdr:txBody>
    </xdr:sp>
    <xdr:clientData/>
  </xdr:twoCellAnchor>
  <xdr:twoCellAnchor>
    <xdr:from>
      <xdr:col>0</xdr:col>
      <xdr:colOff>257175</xdr:colOff>
      <xdr:row>41</xdr:row>
      <xdr:rowOff>85725</xdr:rowOff>
    </xdr:from>
    <xdr:to>
      <xdr:col>2</xdr:col>
      <xdr:colOff>419100</xdr:colOff>
      <xdr:row>42</xdr:row>
      <xdr:rowOff>114300</xdr:rowOff>
    </xdr:to>
    <xdr:sp macro="" textlink="">
      <xdr:nvSpPr>
        <xdr:cNvPr id="73" name="Rectangle: Rounded Corners 72">
          <a:extLst>
            <a:ext uri="{FF2B5EF4-FFF2-40B4-BE49-F238E27FC236}">
              <a16:creationId xmlns:a16="http://schemas.microsoft.com/office/drawing/2014/main" id="{9A738BDB-AB03-2897-56F1-CED1EF83E1F7}"/>
            </a:ext>
          </a:extLst>
        </xdr:cNvPr>
        <xdr:cNvSpPr/>
      </xdr:nvSpPr>
      <xdr:spPr>
        <a:xfrm>
          <a:off x="257175" y="7505700"/>
          <a:ext cx="1381125" cy="20955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i="0">
              <a:solidFill>
                <a:schemeClr val="bg1"/>
              </a:solidFill>
            </a:rPr>
            <a:t>Remote</a:t>
          </a:r>
        </a:p>
      </xdr:txBody>
    </xdr:sp>
    <xdr:clientData/>
  </xdr:twoCellAnchor>
  <xdr:twoCellAnchor>
    <xdr:from>
      <xdr:col>15</xdr:col>
      <xdr:colOff>9524</xdr:colOff>
      <xdr:row>14</xdr:row>
      <xdr:rowOff>19050</xdr:rowOff>
    </xdr:from>
    <xdr:to>
      <xdr:col>17</xdr:col>
      <xdr:colOff>438149</xdr:colOff>
      <xdr:row>16</xdr:row>
      <xdr:rowOff>66675</xdr:rowOff>
    </xdr:to>
    <xdr:sp macro="" textlink="">
      <xdr:nvSpPr>
        <xdr:cNvPr id="74" name="Rectangle: Rounded Corners 73">
          <a:extLst>
            <a:ext uri="{FF2B5EF4-FFF2-40B4-BE49-F238E27FC236}">
              <a16:creationId xmlns:a16="http://schemas.microsoft.com/office/drawing/2014/main" id="{D41D0E10-48E4-262B-3714-D5AE9D371410}"/>
            </a:ext>
          </a:extLst>
        </xdr:cNvPr>
        <xdr:cNvSpPr/>
      </xdr:nvSpPr>
      <xdr:spPr>
        <a:xfrm>
          <a:off x="9153524" y="2552700"/>
          <a:ext cx="1647825"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FFC000"/>
              </a:solidFill>
            </a:rPr>
            <a:t>Leave</a:t>
          </a:r>
          <a:r>
            <a:rPr lang="en-IN" sz="1800" b="1" baseline="0">
              <a:solidFill>
                <a:srgbClr val="FFC000"/>
              </a:solidFill>
            </a:rPr>
            <a:t> Tracking</a:t>
          </a:r>
          <a:endParaRPr lang="en-IN" sz="1800" b="1">
            <a:solidFill>
              <a:srgbClr val="FFC000"/>
            </a:solidFill>
          </a:endParaRPr>
        </a:p>
      </xdr:txBody>
    </xdr:sp>
    <xdr:clientData/>
  </xdr:twoCellAnchor>
  <xdr:twoCellAnchor>
    <xdr:from>
      <xdr:col>14</xdr:col>
      <xdr:colOff>485775</xdr:colOff>
      <xdr:row>14</xdr:row>
      <xdr:rowOff>133350</xdr:rowOff>
    </xdr:from>
    <xdr:to>
      <xdr:col>15</xdr:col>
      <xdr:colOff>85725</xdr:colOff>
      <xdr:row>15</xdr:row>
      <xdr:rowOff>152400</xdr:rowOff>
    </xdr:to>
    <xdr:sp macro="" textlink="">
      <xdr:nvSpPr>
        <xdr:cNvPr id="75" name="Flowchart: Connector 74">
          <a:extLst>
            <a:ext uri="{FF2B5EF4-FFF2-40B4-BE49-F238E27FC236}">
              <a16:creationId xmlns:a16="http://schemas.microsoft.com/office/drawing/2014/main" id="{FB0EEECC-BA06-126F-FAB0-4706C8104015}"/>
            </a:ext>
          </a:extLst>
        </xdr:cNvPr>
        <xdr:cNvSpPr/>
      </xdr:nvSpPr>
      <xdr:spPr>
        <a:xfrm>
          <a:off x="9020175" y="2667000"/>
          <a:ext cx="209550" cy="20002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15</xdr:col>
      <xdr:colOff>66674</xdr:colOff>
      <xdr:row>15</xdr:row>
      <xdr:rowOff>171450</xdr:rowOff>
    </xdr:from>
    <xdr:to>
      <xdr:col>21</xdr:col>
      <xdr:colOff>238125</xdr:colOff>
      <xdr:row>17</xdr:row>
      <xdr:rowOff>47626</xdr:rowOff>
    </xdr:to>
    <xdr:sp macro="" textlink="">
      <xdr:nvSpPr>
        <xdr:cNvPr id="76" name="Rectangle: Rounded Corners 75">
          <a:extLst>
            <a:ext uri="{FF2B5EF4-FFF2-40B4-BE49-F238E27FC236}">
              <a16:creationId xmlns:a16="http://schemas.microsoft.com/office/drawing/2014/main" id="{D6FF603C-B4FF-119F-AB4A-82E2DF58A860}"/>
            </a:ext>
          </a:extLst>
        </xdr:cNvPr>
        <xdr:cNvSpPr/>
      </xdr:nvSpPr>
      <xdr:spPr>
        <a:xfrm>
          <a:off x="9210674" y="2886075"/>
          <a:ext cx="3829051" cy="238126"/>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a:solidFill>
                <a:schemeClr val="bg1"/>
              </a:solidFill>
            </a:rPr>
            <a:t>Leave</a:t>
          </a:r>
          <a:r>
            <a:rPr lang="en-IN" sz="1600" b="1" i="0" baseline="0">
              <a:solidFill>
                <a:schemeClr val="bg1"/>
              </a:solidFill>
            </a:rPr>
            <a:t> taken by job role</a:t>
          </a:r>
          <a:endParaRPr lang="en-IN" sz="1600" b="1" i="0">
            <a:solidFill>
              <a:schemeClr val="bg1"/>
            </a:solidFill>
          </a:endParaRPr>
        </a:p>
      </xdr:txBody>
    </xdr:sp>
    <xdr:clientData/>
  </xdr:twoCellAnchor>
  <xdr:twoCellAnchor>
    <xdr:from>
      <xdr:col>14</xdr:col>
      <xdr:colOff>390526</xdr:colOff>
      <xdr:row>17</xdr:row>
      <xdr:rowOff>114301</xdr:rowOff>
    </xdr:from>
    <xdr:to>
      <xdr:col>21</xdr:col>
      <xdr:colOff>371475</xdr:colOff>
      <xdr:row>30</xdr:row>
      <xdr:rowOff>76200</xdr:rowOff>
    </xdr:to>
    <xdr:graphicFrame macro="">
      <xdr:nvGraphicFramePr>
        <xdr:cNvPr id="78" name="Chart 77">
          <a:extLst>
            <a:ext uri="{FF2B5EF4-FFF2-40B4-BE49-F238E27FC236}">
              <a16:creationId xmlns:a16="http://schemas.microsoft.com/office/drawing/2014/main" id="{8A3439A3-16EA-4D84-8C18-D5094F37A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561975</xdr:colOff>
      <xdr:row>31</xdr:row>
      <xdr:rowOff>9526</xdr:rowOff>
    </xdr:from>
    <xdr:to>
      <xdr:col>16</xdr:col>
      <xdr:colOff>533400</xdr:colOff>
      <xdr:row>32</xdr:row>
      <xdr:rowOff>161925</xdr:rowOff>
    </xdr:to>
    <xdr:sp macro="" textlink="">
      <xdr:nvSpPr>
        <xdr:cNvPr id="79" name="Rectangle: Rounded Corners 78">
          <a:extLst>
            <a:ext uri="{FF2B5EF4-FFF2-40B4-BE49-F238E27FC236}">
              <a16:creationId xmlns:a16="http://schemas.microsoft.com/office/drawing/2014/main" id="{C904C8C3-52A3-D3B8-F918-FAD5F0F8FF1B}"/>
            </a:ext>
          </a:extLst>
        </xdr:cNvPr>
        <xdr:cNvSpPr/>
      </xdr:nvSpPr>
      <xdr:spPr>
        <a:xfrm>
          <a:off x="9096375" y="5619751"/>
          <a:ext cx="1190625" cy="333374"/>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FFC000"/>
              </a:solidFill>
            </a:rPr>
            <a:t>Salaries</a:t>
          </a:r>
        </a:p>
      </xdr:txBody>
    </xdr:sp>
    <xdr:clientData/>
  </xdr:twoCellAnchor>
  <xdr:twoCellAnchor>
    <xdr:from>
      <xdr:col>14</xdr:col>
      <xdr:colOff>533400</xdr:colOff>
      <xdr:row>31</xdr:row>
      <xdr:rowOff>85725</xdr:rowOff>
    </xdr:from>
    <xdr:to>
      <xdr:col>15</xdr:col>
      <xdr:colOff>133350</xdr:colOff>
      <xdr:row>32</xdr:row>
      <xdr:rowOff>104775</xdr:rowOff>
    </xdr:to>
    <xdr:sp macro="" textlink="">
      <xdr:nvSpPr>
        <xdr:cNvPr id="80" name="Flowchart: Connector 79">
          <a:extLst>
            <a:ext uri="{FF2B5EF4-FFF2-40B4-BE49-F238E27FC236}">
              <a16:creationId xmlns:a16="http://schemas.microsoft.com/office/drawing/2014/main" id="{B14B5065-E850-3D03-54DB-76288AD9D54D}"/>
            </a:ext>
          </a:extLst>
        </xdr:cNvPr>
        <xdr:cNvSpPr/>
      </xdr:nvSpPr>
      <xdr:spPr>
        <a:xfrm>
          <a:off x="9067800" y="5695950"/>
          <a:ext cx="209550" cy="20002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15</xdr:col>
      <xdr:colOff>123826</xdr:colOff>
      <xdr:row>32</xdr:row>
      <xdr:rowOff>85725</xdr:rowOff>
    </xdr:from>
    <xdr:to>
      <xdr:col>18</xdr:col>
      <xdr:colOff>561975</xdr:colOff>
      <xdr:row>34</xdr:row>
      <xdr:rowOff>9525</xdr:rowOff>
    </xdr:to>
    <xdr:sp macro="" textlink="">
      <xdr:nvSpPr>
        <xdr:cNvPr id="81" name="Rectangle: Rounded Corners 80">
          <a:extLst>
            <a:ext uri="{FF2B5EF4-FFF2-40B4-BE49-F238E27FC236}">
              <a16:creationId xmlns:a16="http://schemas.microsoft.com/office/drawing/2014/main" id="{FE7F8553-D3F3-5753-7254-734AA76803F1}"/>
            </a:ext>
          </a:extLst>
        </xdr:cNvPr>
        <xdr:cNvSpPr/>
      </xdr:nvSpPr>
      <xdr:spPr>
        <a:xfrm>
          <a:off x="9267826" y="5876925"/>
          <a:ext cx="2266949" cy="28575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i="0">
              <a:solidFill>
                <a:schemeClr val="bg1"/>
              </a:solidFill>
            </a:rPr>
            <a:t>Salaries</a:t>
          </a:r>
          <a:r>
            <a:rPr lang="en-IN" sz="1400" b="1" i="0" baseline="0">
              <a:solidFill>
                <a:schemeClr val="bg1"/>
              </a:solidFill>
            </a:rPr>
            <a:t> amount by job role</a:t>
          </a:r>
          <a:endParaRPr lang="en-IN" sz="1400" b="1" i="0">
            <a:solidFill>
              <a:schemeClr val="bg1"/>
            </a:solidFill>
          </a:endParaRPr>
        </a:p>
      </xdr:txBody>
    </xdr:sp>
    <xdr:clientData/>
  </xdr:twoCellAnchor>
  <xdr:twoCellAnchor editAs="oneCell">
    <xdr:from>
      <xdr:col>0</xdr:col>
      <xdr:colOff>0</xdr:colOff>
      <xdr:row>0</xdr:row>
      <xdr:rowOff>0</xdr:rowOff>
    </xdr:from>
    <xdr:to>
      <xdr:col>1</xdr:col>
      <xdr:colOff>175260</xdr:colOff>
      <xdr:row>1</xdr:row>
      <xdr:rowOff>7620</xdr:rowOff>
    </xdr:to>
    <xdr:pic>
      <xdr:nvPicPr>
        <xdr:cNvPr id="83" name="Picture 82">
          <a:extLst>
            <a:ext uri="{FF2B5EF4-FFF2-40B4-BE49-F238E27FC236}">
              <a16:creationId xmlns:a16="http://schemas.microsoft.com/office/drawing/2014/main" id="{A03AA9D9-821B-0990-A211-E047C29FF66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0"/>
          <a:ext cx="7848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590551</xdr:colOff>
      <xdr:row>34</xdr:row>
      <xdr:rowOff>38099</xdr:rowOff>
    </xdr:from>
    <xdr:to>
      <xdr:col>17</xdr:col>
      <xdr:colOff>219074</xdr:colOff>
      <xdr:row>35</xdr:row>
      <xdr:rowOff>133349</xdr:rowOff>
    </xdr:to>
    <xdr:sp macro="" textlink="">
      <xdr:nvSpPr>
        <xdr:cNvPr id="84" name="Rectangle: Rounded Corners 83">
          <a:extLst>
            <a:ext uri="{FF2B5EF4-FFF2-40B4-BE49-F238E27FC236}">
              <a16:creationId xmlns:a16="http://schemas.microsoft.com/office/drawing/2014/main" id="{A2913FE0-F6D5-E32F-9226-C683E16A71B7}"/>
            </a:ext>
          </a:extLst>
        </xdr:cNvPr>
        <xdr:cNvSpPr/>
      </xdr:nvSpPr>
      <xdr:spPr>
        <a:xfrm>
          <a:off x="9124951" y="6191249"/>
          <a:ext cx="1457323" cy="27622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a:solidFill>
                <a:schemeClr val="bg1"/>
              </a:solidFill>
            </a:rPr>
            <a:t>Total</a:t>
          </a:r>
          <a:r>
            <a:rPr lang="en-IN" sz="1600" b="1" i="0" u="none" baseline="0">
              <a:solidFill>
                <a:schemeClr val="bg1"/>
              </a:solidFill>
            </a:rPr>
            <a:t> Salaries</a:t>
          </a:r>
          <a:endParaRPr lang="en-IN" sz="1600" b="1" i="0" u="none">
            <a:solidFill>
              <a:schemeClr val="bg1"/>
            </a:solidFill>
          </a:endParaRPr>
        </a:p>
      </xdr:txBody>
    </xdr:sp>
    <xdr:clientData/>
  </xdr:twoCellAnchor>
  <xdr:twoCellAnchor>
    <xdr:from>
      <xdr:col>18</xdr:col>
      <xdr:colOff>295275</xdr:colOff>
      <xdr:row>33</xdr:row>
      <xdr:rowOff>171451</xdr:rowOff>
    </xdr:from>
    <xdr:to>
      <xdr:col>21</xdr:col>
      <xdr:colOff>66676</xdr:colOff>
      <xdr:row>35</xdr:row>
      <xdr:rowOff>152401</xdr:rowOff>
    </xdr:to>
    <xdr:sp macro="" textlink="'pivot tables'!$U$9">
      <xdr:nvSpPr>
        <xdr:cNvPr id="85" name="Rectangle: Rounded Corners 84">
          <a:extLst>
            <a:ext uri="{FF2B5EF4-FFF2-40B4-BE49-F238E27FC236}">
              <a16:creationId xmlns:a16="http://schemas.microsoft.com/office/drawing/2014/main" id="{FFFC5E3D-A015-D2D4-F342-40FF38AE16B2}"/>
            </a:ext>
          </a:extLst>
        </xdr:cNvPr>
        <xdr:cNvSpPr/>
      </xdr:nvSpPr>
      <xdr:spPr>
        <a:xfrm>
          <a:off x="11268075" y="6143626"/>
          <a:ext cx="1600201" cy="34290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00A830A-6B9C-4F5B-BA30-C206E67DDD5D}" type="TxLink">
            <a:rPr lang="en-US" sz="1600" b="1" i="0" u="none" strike="noStrike">
              <a:solidFill>
                <a:schemeClr val="bg1"/>
              </a:solidFill>
              <a:latin typeface="Aptos Narrow"/>
            </a:rPr>
            <a:pPr algn="ctr"/>
            <a:t> ₹ 63,34,341 </a:t>
          </a:fld>
          <a:endParaRPr lang="en-IN" sz="2400" b="1" i="0" u="none">
            <a:solidFill>
              <a:schemeClr val="bg1"/>
            </a:solidFill>
          </a:endParaRPr>
        </a:p>
      </xdr:txBody>
    </xdr:sp>
    <xdr:clientData/>
  </xdr:twoCellAnchor>
  <xdr:twoCellAnchor>
    <xdr:from>
      <xdr:col>14</xdr:col>
      <xdr:colOff>590552</xdr:colOff>
      <xdr:row>35</xdr:row>
      <xdr:rowOff>152400</xdr:rowOff>
    </xdr:from>
    <xdr:to>
      <xdr:col>17</xdr:col>
      <xdr:colOff>9526</xdr:colOff>
      <xdr:row>37</xdr:row>
      <xdr:rowOff>57150</xdr:rowOff>
    </xdr:to>
    <xdr:sp macro="" textlink="">
      <xdr:nvSpPr>
        <xdr:cNvPr id="86" name="Rectangle: Rounded Corners 85">
          <a:extLst>
            <a:ext uri="{FF2B5EF4-FFF2-40B4-BE49-F238E27FC236}">
              <a16:creationId xmlns:a16="http://schemas.microsoft.com/office/drawing/2014/main" id="{003C07CF-874D-F8E9-B81C-9B87B0B68C86}"/>
            </a:ext>
          </a:extLst>
        </xdr:cNvPr>
        <xdr:cNvSpPr/>
      </xdr:nvSpPr>
      <xdr:spPr>
        <a:xfrm>
          <a:off x="9124952" y="6486525"/>
          <a:ext cx="1247774" cy="2667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bg1"/>
              </a:solidFill>
              <a:effectLst/>
              <a:latin typeface="+mn-lt"/>
              <a:ea typeface="+mn-ea"/>
              <a:cs typeface="+mn-cs"/>
            </a:rPr>
            <a:t>Analyst</a:t>
          </a:r>
          <a:r>
            <a:rPr lang="en-IN" sz="2400" b="1">
              <a:solidFill>
                <a:schemeClr val="bg1"/>
              </a:solidFill>
              <a:effectLst/>
            </a:rPr>
            <a:t> </a:t>
          </a:r>
          <a:endParaRPr lang="en-IN" sz="2400" b="1" i="0">
            <a:solidFill>
              <a:schemeClr val="bg1"/>
            </a:solidFill>
          </a:endParaRPr>
        </a:p>
      </xdr:txBody>
    </xdr:sp>
    <xdr:clientData/>
  </xdr:twoCellAnchor>
  <xdr:twoCellAnchor>
    <xdr:from>
      <xdr:col>14</xdr:col>
      <xdr:colOff>581027</xdr:colOff>
      <xdr:row>37</xdr:row>
      <xdr:rowOff>123825</xdr:rowOff>
    </xdr:from>
    <xdr:to>
      <xdr:col>17</xdr:col>
      <xdr:colOff>1</xdr:colOff>
      <xdr:row>39</xdr:row>
      <xdr:rowOff>28575</xdr:rowOff>
    </xdr:to>
    <xdr:sp macro="" textlink="">
      <xdr:nvSpPr>
        <xdr:cNvPr id="87" name="Rectangle: Rounded Corners 86">
          <a:extLst>
            <a:ext uri="{FF2B5EF4-FFF2-40B4-BE49-F238E27FC236}">
              <a16:creationId xmlns:a16="http://schemas.microsoft.com/office/drawing/2014/main" id="{A4DCBEC5-AAFD-A91A-78A7-E8CF07BA0F99}"/>
            </a:ext>
          </a:extLst>
        </xdr:cNvPr>
        <xdr:cNvSpPr/>
      </xdr:nvSpPr>
      <xdr:spPr>
        <a:xfrm>
          <a:off x="9115427" y="6819900"/>
          <a:ext cx="1247774" cy="2667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bg1"/>
              </a:solidFill>
              <a:effectLst/>
              <a:latin typeface="+mn-lt"/>
              <a:ea typeface="+mn-ea"/>
              <a:cs typeface="+mn-cs"/>
            </a:rPr>
            <a:t>Designer</a:t>
          </a:r>
          <a:r>
            <a:rPr lang="en-IN" sz="2400" b="1">
              <a:solidFill>
                <a:schemeClr val="bg1"/>
              </a:solidFill>
              <a:effectLst/>
            </a:rPr>
            <a:t> </a:t>
          </a:r>
          <a:endParaRPr lang="en-IN" sz="2400" b="1" i="0">
            <a:solidFill>
              <a:schemeClr val="bg1"/>
            </a:solidFill>
          </a:endParaRPr>
        </a:p>
      </xdr:txBody>
    </xdr:sp>
    <xdr:clientData/>
  </xdr:twoCellAnchor>
  <xdr:twoCellAnchor>
    <xdr:from>
      <xdr:col>14</xdr:col>
      <xdr:colOff>571502</xdr:colOff>
      <xdr:row>39</xdr:row>
      <xdr:rowOff>95250</xdr:rowOff>
    </xdr:from>
    <xdr:to>
      <xdr:col>16</xdr:col>
      <xdr:colOff>600076</xdr:colOff>
      <xdr:row>41</xdr:row>
      <xdr:rowOff>0</xdr:rowOff>
    </xdr:to>
    <xdr:sp macro="" textlink="">
      <xdr:nvSpPr>
        <xdr:cNvPr id="88" name="Rectangle: Rounded Corners 87">
          <a:extLst>
            <a:ext uri="{FF2B5EF4-FFF2-40B4-BE49-F238E27FC236}">
              <a16:creationId xmlns:a16="http://schemas.microsoft.com/office/drawing/2014/main" id="{00C2C3CA-EFE6-CE98-95EB-3FF5A157315E}"/>
            </a:ext>
          </a:extLst>
        </xdr:cNvPr>
        <xdr:cNvSpPr/>
      </xdr:nvSpPr>
      <xdr:spPr>
        <a:xfrm>
          <a:off x="9105902" y="7153275"/>
          <a:ext cx="1247774" cy="2667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bg1"/>
              </a:solidFill>
              <a:effectLst/>
              <a:latin typeface="+mn-lt"/>
              <a:ea typeface="+mn-ea"/>
              <a:cs typeface="+mn-cs"/>
            </a:rPr>
            <a:t>Developer</a:t>
          </a:r>
          <a:r>
            <a:rPr lang="en-IN" sz="2400" b="1">
              <a:solidFill>
                <a:schemeClr val="bg1"/>
              </a:solidFill>
              <a:effectLst/>
            </a:rPr>
            <a:t> </a:t>
          </a:r>
          <a:endParaRPr lang="en-IN" sz="2400" b="1" i="0">
            <a:solidFill>
              <a:schemeClr val="bg1"/>
            </a:solidFill>
          </a:endParaRPr>
        </a:p>
      </xdr:txBody>
    </xdr:sp>
    <xdr:clientData/>
  </xdr:twoCellAnchor>
  <xdr:twoCellAnchor>
    <xdr:from>
      <xdr:col>14</xdr:col>
      <xdr:colOff>561976</xdr:colOff>
      <xdr:row>41</xdr:row>
      <xdr:rowOff>66675</xdr:rowOff>
    </xdr:from>
    <xdr:to>
      <xdr:col>17</xdr:col>
      <xdr:colOff>228599</xdr:colOff>
      <xdr:row>43</xdr:row>
      <xdr:rowOff>19050</xdr:rowOff>
    </xdr:to>
    <xdr:sp macro="" textlink="">
      <xdr:nvSpPr>
        <xdr:cNvPr id="89" name="Rectangle: Rounded Corners 88">
          <a:extLst>
            <a:ext uri="{FF2B5EF4-FFF2-40B4-BE49-F238E27FC236}">
              <a16:creationId xmlns:a16="http://schemas.microsoft.com/office/drawing/2014/main" id="{8F46AC03-55B5-EA7F-8EDF-D5DB5900D6C0}"/>
            </a:ext>
          </a:extLst>
        </xdr:cNvPr>
        <xdr:cNvSpPr/>
      </xdr:nvSpPr>
      <xdr:spPr>
        <a:xfrm>
          <a:off x="9096376" y="7486650"/>
          <a:ext cx="1495423" cy="31432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bg1"/>
              </a:solidFill>
              <a:effectLst/>
              <a:latin typeface="+mn-lt"/>
              <a:ea typeface="+mn-ea"/>
              <a:cs typeface="+mn-cs"/>
            </a:rPr>
            <a:t>HR</a:t>
          </a:r>
          <a:r>
            <a:rPr lang="en-IN" sz="1600" b="1" i="0" u="none" strike="noStrike" baseline="0">
              <a:solidFill>
                <a:schemeClr val="bg1"/>
              </a:solidFill>
              <a:effectLst/>
              <a:latin typeface="+mn-lt"/>
              <a:ea typeface="+mn-ea"/>
              <a:cs typeface="+mn-cs"/>
            </a:rPr>
            <a:t> Specialist</a:t>
          </a:r>
          <a:r>
            <a:rPr lang="en-IN" sz="2400" b="1">
              <a:solidFill>
                <a:schemeClr val="bg1"/>
              </a:solidFill>
              <a:effectLst/>
            </a:rPr>
            <a:t> </a:t>
          </a:r>
          <a:endParaRPr lang="en-IN" sz="2400" b="1" i="0">
            <a:solidFill>
              <a:schemeClr val="bg1"/>
            </a:solidFill>
          </a:endParaRPr>
        </a:p>
      </xdr:txBody>
    </xdr:sp>
    <xdr:clientData/>
  </xdr:twoCellAnchor>
  <xdr:twoCellAnchor>
    <xdr:from>
      <xdr:col>14</xdr:col>
      <xdr:colOff>552450</xdr:colOff>
      <xdr:row>43</xdr:row>
      <xdr:rowOff>38100</xdr:rowOff>
    </xdr:from>
    <xdr:to>
      <xdr:col>17</xdr:col>
      <xdr:colOff>219073</xdr:colOff>
      <xdr:row>44</xdr:row>
      <xdr:rowOff>171450</xdr:rowOff>
    </xdr:to>
    <xdr:sp macro="" textlink="">
      <xdr:nvSpPr>
        <xdr:cNvPr id="90" name="Rectangle: Rounded Corners 89">
          <a:extLst>
            <a:ext uri="{FF2B5EF4-FFF2-40B4-BE49-F238E27FC236}">
              <a16:creationId xmlns:a16="http://schemas.microsoft.com/office/drawing/2014/main" id="{8EB8E688-87F9-0113-8C4C-CC31CB9DF7A9}"/>
            </a:ext>
          </a:extLst>
        </xdr:cNvPr>
        <xdr:cNvSpPr/>
      </xdr:nvSpPr>
      <xdr:spPr>
        <a:xfrm>
          <a:off x="9086850" y="7820025"/>
          <a:ext cx="1495423" cy="31432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bg1"/>
              </a:solidFill>
              <a:effectLst/>
              <a:latin typeface="+mn-lt"/>
              <a:ea typeface="+mn-ea"/>
              <a:cs typeface="+mn-cs"/>
            </a:rPr>
            <a:t>Manager</a:t>
          </a:r>
          <a:r>
            <a:rPr lang="en-IN" sz="2400" b="1">
              <a:solidFill>
                <a:schemeClr val="bg1"/>
              </a:solidFill>
              <a:effectLst/>
            </a:rPr>
            <a:t> </a:t>
          </a:r>
          <a:endParaRPr lang="en-IN" sz="2400" b="1" i="0">
            <a:solidFill>
              <a:schemeClr val="bg1"/>
            </a:solidFill>
          </a:endParaRPr>
        </a:p>
      </xdr:txBody>
    </xdr:sp>
    <xdr:clientData/>
  </xdr:twoCellAnchor>
  <xdr:twoCellAnchor>
    <xdr:from>
      <xdr:col>18</xdr:col>
      <xdr:colOff>428627</xdr:colOff>
      <xdr:row>36</xdr:row>
      <xdr:rowOff>47624</xdr:rowOff>
    </xdr:from>
    <xdr:to>
      <xdr:col>21</xdr:col>
      <xdr:colOff>219075</xdr:colOff>
      <xdr:row>38</xdr:row>
      <xdr:rowOff>47625</xdr:rowOff>
    </xdr:to>
    <xdr:sp macro="" textlink="'pivot tables'!U11">
      <xdr:nvSpPr>
        <xdr:cNvPr id="91" name="Rectangle: Rounded Corners 90">
          <a:extLst>
            <a:ext uri="{FF2B5EF4-FFF2-40B4-BE49-F238E27FC236}">
              <a16:creationId xmlns:a16="http://schemas.microsoft.com/office/drawing/2014/main" id="{DBFA20DD-9D82-B839-0BEC-E736D48D326E}"/>
            </a:ext>
          </a:extLst>
        </xdr:cNvPr>
        <xdr:cNvSpPr/>
      </xdr:nvSpPr>
      <xdr:spPr>
        <a:xfrm>
          <a:off x="11401427" y="6562724"/>
          <a:ext cx="1619248" cy="361951"/>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EAC41958-FD55-488C-8A2C-9F1F708E3C4F}" type="TxLink">
            <a:rPr lang="en-US" sz="1600" b="1" i="0" u="none" strike="noStrike">
              <a:solidFill>
                <a:schemeClr val="bg1"/>
              </a:solidFill>
              <a:effectLst/>
              <a:latin typeface="Aptos Narrow"/>
              <a:ea typeface="+mn-ea"/>
              <a:cs typeface="+mn-cs"/>
            </a:rPr>
            <a:pPr algn="l"/>
            <a:t> ₹ 9,91,270 </a:t>
          </a:fld>
          <a:endParaRPr lang="en-IN" sz="4400" b="1" i="0">
            <a:solidFill>
              <a:schemeClr val="bg1"/>
            </a:solidFill>
          </a:endParaRPr>
        </a:p>
      </xdr:txBody>
    </xdr:sp>
    <xdr:clientData/>
  </xdr:twoCellAnchor>
  <xdr:twoCellAnchor>
    <xdr:from>
      <xdr:col>18</xdr:col>
      <xdr:colOff>438152</xdr:colOff>
      <xdr:row>38</xdr:row>
      <xdr:rowOff>19050</xdr:rowOff>
    </xdr:from>
    <xdr:to>
      <xdr:col>21</xdr:col>
      <xdr:colOff>228600</xdr:colOff>
      <xdr:row>40</xdr:row>
      <xdr:rowOff>28575</xdr:rowOff>
    </xdr:to>
    <xdr:sp macro="" textlink="'pivot tables'!U12">
      <xdr:nvSpPr>
        <xdr:cNvPr id="92" name="Rectangle: Rounded Corners 91">
          <a:extLst>
            <a:ext uri="{FF2B5EF4-FFF2-40B4-BE49-F238E27FC236}">
              <a16:creationId xmlns:a16="http://schemas.microsoft.com/office/drawing/2014/main" id="{E5BB220B-F5CA-3F3A-0673-B395197A9369}"/>
            </a:ext>
          </a:extLst>
        </xdr:cNvPr>
        <xdr:cNvSpPr/>
      </xdr:nvSpPr>
      <xdr:spPr>
        <a:xfrm>
          <a:off x="11410952" y="6896100"/>
          <a:ext cx="1619248" cy="3714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1FCE2742-0828-43A3-90DC-D0D5352CF155}" type="TxLink">
            <a:rPr lang="en-US" sz="1400" b="1" i="0" u="none" strike="noStrike">
              <a:solidFill>
                <a:schemeClr val="bg1"/>
              </a:solidFill>
              <a:effectLst/>
              <a:latin typeface="Aptos Narrow"/>
              <a:ea typeface="+mn-ea"/>
              <a:cs typeface="+mn-cs"/>
            </a:rPr>
            <a:pPr algn="l"/>
            <a:t> ₹ 11,41,425 </a:t>
          </a:fld>
          <a:endParaRPr lang="en-IN" sz="4000" b="1" i="0">
            <a:solidFill>
              <a:schemeClr val="bg1"/>
            </a:solidFill>
          </a:endParaRPr>
        </a:p>
      </xdr:txBody>
    </xdr:sp>
    <xdr:clientData/>
  </xdr:twoCellAnchor>
  <xdr:twoCellAnchor>
    <xdr:from>
      <xdr:col>18</xdr:col>
      <xdr:colOff>428627</xdr:colOff>
      <xdr:row>39</xdr:row>
      <xdr:rowOff>133350</xdr:rowOff>
    </xdr:from>
    <xdr:to>
      <xdr:col>21</xdr:col>
      <xdr:colOff>219075</xdr:colOff>
      <xdr:row>41</xdr:row>
      <xdr:rowOff>171450</xdr:rowOff>
    </xdr:to>
    <xdr:sp macro="" textlink="'pivot tables'!U13">
      <xdr:nvSpPr>
        <xdr:cNvPr id="93" name="Rectangle: Rounded Corners 92">
          <a:extLst>
            <a:ext uri="{FF2B5EF4-FFF2-40B4-BE49-F238E27FC236}">
              <a16:creationId xmlns:a16="http://schemas.microsoft.com/office/drawing/2014/main" id="{69EA4176-F3D5-5AD6-50AF-2E656B510FF0}"/>
            </a:ext>
          </a:extLst>
        </xdr:cNvPr>
        <xdr:cNvSpPr/>
      </xdr:nvSpPr>
      <xdr:spPr>
        <a:xfrm>
          <a:off x="11401427" y="7191375"/>
          <a:ext cx="1619248" cy="40005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61D82C33-28F4-4FA0-8C59-1ABE16DD2791}" type="TxLink">
            <a:rPr lang="en-US" sz="1400" b="1" i="0" u="none" strike="noStrike">
              <a:solidFill>
                <a:schemeClr val="bg1"/>
              </a:solidFill>
              <a:effectLst/>
              <a:latin typeface="Aptos Narrow"/>
              <a:ea typeface="+mn-ea"/>
              <a:cs typeface="+mn-cs"/>
            </a:rPr>
            <a:pPr algn="l"/>
            <a:t> ₹ 12,58,879 </a:t>
          </a:fld>
          <a:endParaRPr lang="en-IN" sz="4000" b="1" i="0">
            <a:solidFill>
              <a:schemeClr val="bg1"/>
            </a:solidFill>
          </a:endParaRPr>
        </a:p>
      </xdr:txBody>
    </xdr:sp>
    <xdr:clientData/>
  </xdr:twoCellAnchor>
  <xdr:twoCellAnchor>
    <xdr:from>
      <xdr:col>18</xdr:col>
      <xdr:colOff>447677</xdr:colOff>
      <xdr:row>42</xdr:row>
      <xdr:rowOff>47625</xdr:rowOff>
    </xdr:from>
    <xdr:to>
      <xdr:col>21</xdr:col>
      <xdr:colOff>238125</xdr:colOff>
      <xdr:row>44</xdr:row>
      <xdr:rowOff>19050</xdr:rowOff>
    </xdr:to>
    <xdr:sp macro="" textlink="'pivot tables'!U14">
      <xdr:nvSpPr>
        <xdr:cNvPr id="94" name="Rectangle: Rounded Corners 93">
          <a:extLst>
            <a:ext uri="{FF2B5EF4-FFF2-40B4-BE49-F238E27FC236}">
              <a16:creationId xmlns:a16="http://schemas.microsoft.com/office/drawing/2014/main" id="{364167EE-3DB4-EEC8-2645-1C9AFA56C2B0}"/>
            </a:ext>
          </a:extLst>
        </xdr:cNvPr>
        <xdr:cNvSpPr/>
      </xdr:nvSpPr>
      <xdr:spPr>
        <a:xfrm>
          <a:off x="11420477" y="7648575"/>
          <a:ext cx="1619248" cy="3333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E170E5BB-6365-48A6-83B1-723A1D52FF94}" type="TxLink">
            <a:rPr lang="en-US" sz="1600" b="1" i="0" u="none" strike="noStrike">
              <a:solidFill>
                <a:schemeClr val="bg1"/>
              </a:solidFill>
              <a:effectLst/>
              <a:latin typeface="Aptos Narrow"/>
              <a:ea typeface="+mn-ea"/>
              <a:cs typeface="+mn-cs"/>
            </a:rPr>
            <a:pPr algn="l"/>
            <a:t> ₹ 15,73,579 </a:t>
          </a:fld>
          <a:endParaRPr lang="en-IN" sz="4400" b="1" i="0">
            <a:solidFill>
              <a:schemeClr val="bg1"/>
            </a:solidFill>
          </a:endParaRPr>
        </a:p>
      </xdr:txBody>
    </xdr:sp>
    <xdr:clientData/>
  </xdr:twoCellAnchor>
  <xdr:twoCellAnchor>
    <xdr:from>
      <xdr:col>18</xdr:col>
      <xdr:colOff>438152</xdr:colOff>
      <xdr:row>44</xdr:row>
      <xdr:rowOff>0</xdr:rowOff>
    </xdr:from>
    <xdr:to>
      <xdr:col>21</xdr:col>
      <xdr:colOff>228600</xdr:colOff>
      <xdr:row>45</xdr:row>
      <xdr:rowOff>171450</xdr:rowOff>
    </xdr:to>
    <xdr:sp macro="" textlink="'pivot tables'!U15">
      <xdr:nvSpPr>
        <xdr:cNvPr id="95" name="Rectangle: Rounded Corners 94">
          <a:extLst>
            <a:ext uri="{FF2B5EF4-FFF2-40B4-BE49-F238E27FC236}">
              <a16:creationId xmlns:a16="http://schemas.microsoft.com/office/drawing/2014/main" id="{EDD95447-0885-7009-FE05-32CF26A3CD92}"/>
            </a:ext>
          </a:extLst>
        </xdr:cNvPr>
        <xdr:cNvSpPr/>
      </xdr:nvSpPr>
      <xdr:spPr>
        <a:xfrm>
          <a:off x="11410952" y="7962900"/>
          <a:ext cx="1619248" cy="35242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6D0E1A1F-6B18-416A-8427-B25C83E832C6}" type="TxLink">
            <a:rPr lang="en-US" sz="1400" b="1" i="0" u="none" strike="noStrike">
              <a:solidFill>
                <a:schemeClr val="bg1"/>
              </a:solidFill>
              <a:effectLst/>
              <a:latin typeface="Aptos Narrow"/>
              <a:ea typeface="+mn-ea"/>
              <a:cs typeface="+mn-cs"/>
            </a:rPr>
            <a:pPr algn="l"/>
            <a:t> ₹ 13,69,188 </a:t>
          </a:fld>
          <a:endParaRPr lang="en-IN" sz="4000" b="1" i="0">
            <a:solidFill>
              <a:schemeClr val="bg1"/>
            </a:solidFill>
          </a:endParaRPr>
        </a:p>
      </xdr:txBody>
    </xdr:sp>
    <xdr:clientData/>
  </xdr:twoCellAnchor>
  <xdr:twoCellAnchor>
    <xdr:from>
      <xdr:col>22</xdr:col>
      <xdr:colOff>66675</xdr:colOff>
      <xdr:row>13</xdr:row>
      <xdr:rowOff>142875</xdr:rowOff>
    </xdr:from>
    <xdr:to>
      <xdr:col>23</xdr:col>
      <xdr:colOff>533401</xdr:colOff>
      <xdr:row>16</xdr:row>
      <xdr:rowOff>9525</xdr:rowOff>
    </xdr:to>
    <xdr:sp macro="" textlink="">
      <xdr:nvSpPr>
        <xdr:cNvPr id="7" name="Rectangle: Rounded Corners 6">
          <a:extLst>
            <a:ext uri="{FF2B5EF4-FFF2-40B4-BE49-F238E27FC236}">
              <a16:creationId xmlns:a16="http://schemas.microsoft.com/office/drawing/2014/main" id="{197D46C6-99E1-56DE-C0FD-33A8E1FBB76A}"/>
            </a:ext>
          </a:extLst>
        </xdr:cNvPr>
        <xdr:cNvSpPr/>
      </xdr:nvSpPr>
      <xdr:spPr>
        <a:xfrm>
          <a:off x="13477875" y="2495550"/>
          <a:ext cx="1076326"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FFC000"/>
              </a:solidFill>
            </a:rPr>
            <a:t>Regions</a:t>
          </a:r>
        </a:p>
      </xdr:txBody>
    </xdr:sp>
    <xdr:clientData/>
  </xdr:twoCellAnchor>
  <xdr:twoCellAnchor>
    <xdr:from>
      <xdr:col>21</xdr:col>
      <xdr:colOff>542925</xdr:colOff>
      <xdr:row>14</xdr:row>
      <xdr:rowOff>76200</xdr:rowOff>
    </xdr:from>
    <xdr:to>
      <xdr:col>22</xdr:col>
      <xdr:colOff>142875</xdr:colOff>
      <xdr:row>15</xdr:row>
      <xdr:rowOff>95250</xdr:rowOff>
    </xdr:to>
    <xdr:sp macro="" textlink="">
      <xdr:nvSpPr>
        <xdr:cNvPr id="8" name="Flowchart: Connector 7">
          <a:extLst>
            <a:ext uri="{FF2B5EF4-FFF2-40B4-BE49-F238E27FC236}">
              <a16:creationId xmlns:a16="http://schemas.microsoft.com/office/drawing/2014/main" id="{F3E7DCB8-83D4-8BBE-A86C-E90E68399140}"/>
            </a:ext>
          </a:extLst>
        </xdr:cNvPr>
        <xdr:cNvSpPr/>
      </xdr:nvSpPr>
      <xdr:spPr>
        <a:xfrm>
          <a:off x="13344525" y="2609850"/>
          <a:ext cx="209550" cy="20002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22</xdr:col>
      <xdr:colOff>133349</xdr:colOff>
      <xdr:row>15</xdr:row>
      <xdr:rowOff>123825</xdr:rowOff>
    </xdr:from>
    <xdr:to>
      <xdr:col>25</xdr:col>
      <xdr:colOff>476250</xdr:colOff>
      <xdr:row>16</xdr:row>
      <xdr:rowOff>161925</xdr:rowOff>
    </xdr:to>
    <xdr:sp macro="" textlink="">
      <xdr:nvSpPr>
        <xdr:cNvPr id="9" name="Rectangle: Rounded Corners 8">
          <a:extLst>
            <a:ext uri="{FF2B5EF4-FFF2-40B4-BE49-F238E27FC236}">
              <a16:creationId xmlns:a16="http://schemas.microsoft.com/office/drawing/2014/main" id="{732D3B65-657E-21DA-5DED-B3B308BEFCB0}"/>
            </a:ext>
          </a:extLst>
        </xdr:cNvPr>
        <xdr:cNvSpPr/>
      </xdr:nvSpPr>
      <xdr:spPr>
        <a:xfrm>
          <a:off x="13544549" y="2838450"/>
          <a:ext cx="2171701" cy="2190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a:solidFill>
                <a:schemeClr val="bg1"/>
              </a:solidFill>
            </a:rPr>
            <a:t>Employees</a:t>
          </a:r>
          <a:r>
            <a:rPr lang="en-IN" sz="1600" b="1" i="0" baseline="0">
              <a:solidFill>
                <a:schemeClr val="bg1"/>
              </a:solidFill>
            </a:rPr>
            <a:t> per region</a:t>
          </a:r>
          <a:endParaRPr lang="en-IN" sz="1600" b="1" i="0">
            <a:solidFill>
              <a:schemeClr val="bg1"/>
            </a:solidFill>
          </a:endParaRPr>
        </a:p>
      </xdr:txBody>
    </xdr:sp>
    <xdr:clientData/>
  </xdr:twoCellAnchor>
  <xdr:twoCellAnchor>
    <xdr:from>
      <xdr:col>21</xdr:col>
      <xdr:colOff>428625</xdr:colOff>
      <xdr:row>17</xdr:row>
      <xdr:rowOff>57149</xdr:rowOff>
    </xdr:from>
    <xdr:to>
      <xdr:col>28</xdr:col>
      <xdr:colOff>581025</xdr:colOff>
      <xdr:row>29</xdr:row>
      <xdr:rowOff>57150</xdr:rowOff>
    </xdr:to>
    <xdr:graphicFrame macro="">
      <xdr:nvGraphicFramePr>
        <xdr:cNvPr id="13" name="Chart 12">
          <a:extLst>
            <a:ext uri="{FF2B5EF4-FFF2-40B4-BE49-F238E27FC236}">
              <a16:creationId xmlns:a16="http://schemas.microsoft.com/office/drawing/2014/main" id="{1433B3FD-A519-41EA-9534-07D66A336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38100</xdr:colOff>
      <xdr:row>30</xdr:row>
      <xdr:rowOff>142876</xdr:rowOff>
    </xdr:from>
    <xdr:to>
      <xdr:col>27</xdr:col>
      <xdr:colOff>123825</xdr:colOff>
      <xdr:row>32</xdr:row>
      <xdr:rowOff>114300</xdr:rowOff>
    </xdr:to>
    <xdr:sp macro="" textlink="">
      <xdr:nvSpPr>
        <xdr:cNvPr id="14" name="Rectangle: Rounded Corners 13">
          <a:extLst>
            <a:ext uri="{FF2B5EF4-FFF2-40B4-BE49-F238E27FC236}">
              <a16:creationId xmlns:a16="http://schemas.microsoft.com/office/drawing/2014/main" id="{A2CCA27F-AD27-FD0F-E2EB-AA863A98CEB7}"/>
            </a:ext>
          </a:extLst>
        </xdr:cNvPr>
        <xdr:cNvSpPr/>
      </xdr:nvSpPr>
      <xdr:spPr>
        <a:xfrm>
          <a:off x="13449300" y="5572126"/>
          <a:ext cx="3133725" cy="333374"/>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rgbClr val="FFC000"/>
              </a:solidFill>
            </a:rPr>
            <a:t>Employees</a:t>
          </a:r>
          <a:r>
            <a:rPr lang="en-IN" sz="1800" b="1" baseline="0">
              <a:solidFill>
                <a:srgbClr val="FFC000"/>
              </a:solidFill>
            </a:rPr>
            <a:t> Status Breakdown</a:t>
          </a:r>
          <a:endParaRPr lang="en-IN" sz="1800" b="1">
            <a:solidFill>
              <a:srgbClr val="FFC000"/>
            </a:solidFill>
          </a:endParaRPr>
        </a:p>
      </xdr:txBody>
    </xdr:sp>
    <xdr:clientData/>
  </xdr:twoCellAnchor>
  <xdr:twoCellAnchor>
    <xdr:from>
      <xdr:col>21</xdr:col>
      <xdr:colOff>504825</xdr:colOff>
      <xdr:row>31</xdr:row>
      <xdr:rowOff>38100</xdr:rowOff>
    </xdr:from>
    <xdr:to>
      <xdr:col>22</xdr:col>
      <xdr:colOff>104775</xdr:colOff>
      <xdr:row>32</xdr:row>
      <xdr:rowOff>57150</xdr:rowOff>
    </xdr:to>
    <xdr:sp macro="" textlink="">
      <xdr:nvSpPr>
        <xdr:cNvPr id="20" name="Flowchart: Connector 19">
          <a:extLst>
            <a:ext uri="{FF2B5EF4-FFF2-40B4-BE49-F238E27FC236}">
              <a16:creationId xmlns:a16="http://schemas.microsoft.com/office/drawing/2014/main" id="{E4BC29EB-9999-2649-20B0-2FBBEE01F5C0}"/>
            </a:ext>
          </a:extLst>
        </xdr:cNvPr>
        <xdr:cNvSpPr/>
      </xdr:nvSpPr>
      <xdr:spPr>
        <a:xfrm>
          <a:off x="13306425" y="5648325"/>
          <a:ext cx="209550" cy="20002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21</xdr:col>
      <xdr:colOff>419101</xdr:colOff>
      <xdr:row>30</xdr:row>
      <xdr:rowOff>114302</xdr:rowOff>
    </xdr:from>
    <xdr:to>
      <xdr:col>28</xdr:col>
      <xdr:colOff>552450</xdr:colOff>
      <xdr:row>45</xdr:row>
      <xdr:rowOff>142877</xdr:rowOff>
    </xdr:to>
    <xdr:graphicFrame macro="">
      <xdr:nvGraphicFramePr>
        <xdr:cNvPr id="40" name="Chart 39">
          <a:extLst>
            <a:ext uri="{FF2B5EF4-FFF2-40B4-BE49-F238E27FC236}">
              <a16:creationId xmlns:a16="http://schemas.microsoft.com/office/drawing/2014/main" id="{9EEBCC1B-70F6-4BF9-B22D-1FB4CF78C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514351</xdr:colOff>
      <xdr:row>5</xdr:row>
      <xdr:rowOff>38099</xdr:rowOff>
    </xdr:from>
    <xdr:to>
      <xdr:col>8</xdr:col>
      <xdr:colOff>219977</xdr:colOff>
      <xdr:row>7</xdr:row>
      <xdr:rowOff>72149</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70333E17-4CC3-4E00-8722-71A3EDC7B97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52751" y="942974"/>
              <a:ext cx="2144026" cy="3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327660</xdr:colOff>
      <xdr:row>5</xdr:row>
      <xdr:rowOff>32387</xdr:rowOff>
    </xdr:from>
    <xdr:to>
      <xdr:col>18</xdr:col>
      <xdr:colOff>409575</xdr:colOff>
      <xdr:row>7</xdr:row>
      <xdr:rowOff>38100</xdr:rowOff>
    </xdr:to>
    <mc:AlternateContent xmlns:mc="http://schemas.openxmlformats.org/markup-compatibility/2006" xmlns:a14="http://schemas.microsoft.com/office/drawing/2010/main">
      <mc:Choice Requires="a14">
        <xdr:graphicFrame macro="">
          <xdr:nvGraphicFramePr>
            <xdr:cNvPr id="41" name="Region">
              <a:extLst>
                <a:ext uri="{FF2B5EF4-FFF2-40B4-BE49-F238E27FC236}">
                  <a16:creationId xmlns:a16="http://schemas.microsoft.com/office/drawing/2014/main" id="{3DD2F562-DAD4-4301-BA8D-648BFE99BB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04460" y="937262"/>
              <a:ext cx="6177915" cy="367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18</xdr:col>
      <xdr:colOff>495300</xdr:colOff>
      <xdr:row>4</xdr:row>
      <xdr:rowOff>173024</xdr:rowOff>
    </xdr:from>
    <xdr:to>
      <xdr:col>28</xdr:col>
      <xdr:colOff>314326</xdr:colOff>
      <xdr:row>7</xdr:row>
      <xdr:rowOff>38100</xdr:rowOff>
    </xdr:to>
    <mc:AlternateContent xmlns:mc="http://schemas.openxmlformats.org/markup-compatibility/2006" xmlns:a14="http://schemas.microsoft.com/office/drawing/2010/main">
      <mc:Choice Requires="a14">
        <xdr:graphicFrame macro="">
          <xdr:nvGraphicFramePr>
            <xdr:cNvPr id="42" name="Department">
              <a:extLst>
                <a:ext uri="{FF2B5EF4-FFF2-40B4-BE49-F238E27FC236}">
                  <a16:creationId xmlns:a16="http://schemas.microsoft.com/office/drawing/2014/main" id="{26D04050-246E-428D-B017-C68375A4D85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468100" y="896924"/>
              <a:ext cx="5915026" cy="408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0</xdr:row>
      <xdr:rowOff>47625</xdr:rowOff>
    </xdr:from>
    <xdr:to>
      <xdr:col>4</xdr:col>
      <xdr:colOff>314325</xdr:colOff>
      <xdr:row>6</xdr:row>
      <xdr:rowOff>142874</xdr:rowOff>
    </xdr:to>
    <xdr:pic>
      <xdr:nvPicPr>
        <xdr:cNvPr id="98" name="Picture 97">
          <a:extLst>
            <a:ext uri="{FF2B5EF4-FFF2-40B4-BE49-F238E27FC236}">
              <a16:creationId xmlns:a16="http://schemas.microsoft.com/office/drawing/2014/main" id="{059E62BF-BCC9-7C43-D207-6B4087CCDBE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133350" y="47625"/>
          <a:ext cx="2619375" cy="1181099"/>
        </a:xfrm>
        <a:prstGeom prst="rect">
          <a:avLst/>
        </a:prstGeom>
      </xdr:spPr>
    </xdr:pic>
    <xdr:clientData/>
  </xdr:twoCellAnchor>
  <xdr:twoCellAnchor editAs="oneCell">
    <xdr:from>
      <xdr:col>8</xdr:col>
      <xdr:colOff>142875</xdr:colOff>
      <xdr:row>20</xdr:row>
      <xdr:rowOff>104775</xdr:rowOff>
    </xdr:from>
    <xdr:to>
      <xdr:col>9</xdr:col>
      <xdr:colOff>190500</xdr:colOff>
      <xdr:row>25</xdr:row>
      <xdr:rowOff>171450</xdr:rowOff>
    </xdr:to>
    <xdr:pic>
      <xdr:nvPicPr>
        <xdr:cNvPr id="100" name="Picture 99">
          <a:extLst>
            <a:ext uri="{FF2B5EF4-FFF2-40B4-BE49-F238E27FC236}">
              <a16:creationId xmlns:a16="http://schemas.microsoft.com/office/drawing/2014/main" id="{C4B5969A-451C-F560-A8D6-38258E551025}"/>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 uri="{837473B0-CC2E-450A-ABE3-18F120FF3D39}">
              <a1611:picAttrSrcUrl xmlns:a1611="http://schemas.microsoft.com/office/drawing/2016/11/main" r:id="rId13"/>
            </a:ext>
          </a:extLst>
        </a:blip>
        <a:srcRect r="52105"/>
        <a:stretch>
          <a:fillRect/>
        </a:stretch>
      </xdr:blipFill>
      <xdr:spPr>
        <a:xfrm>
          <a:off x="5019675" y="3724275"/>
          <a:ext cx="657225" cy="971550"/>
        </a:xfrm>
        <a:prstGeom prst="rect">
          <a:avLst/>
        </a:prstGeom>
      </xdr:spPr>
    </xdr:pic>
    <xdr:clientData/>
  </xdr:twoCellAnchor>
  <xdr:twoCellAnchor editAs="oneCell">
    <xdr:from>
      <xdr:col>12</xdr:col>
      <xdr:colOff>161925</xdr:colOff>
      <xdr:row>20</xdr:row>
      <xdr:rowOff>123825</xdr:rowOff>
    </xdr:from>
    <xdr:to>
      <xdr:col>13</xdr:col>
      <xdr:colOff>219075</xdr:colOff>
      <xdr:row>25</xdr:row>
      <xdr:rowOff>104776</xdr:rowOff>
    </xdr:to>
    <xdr:pic>
      <xdr:nvPicPr>
        <xdr:cNvPr id="101" name="Picture 100">
          <a:extLst>
            <a:ext uri="{FF2B5EF4-FFF2-40B4-BE49-F238E27FC236}">
              <a16:creationId xmlns:a16="http://schemas.microsoft.com/office/drawing/2014/main" id="{B47AB863-4912-0EB0-E0F5-6D11894A47C2}"/>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 uri="{837473B0-CC2E-450A-ABE3-18F120FF3D39}">
              <a1611:picAttrSrcUrl xmlns:a1611="http://schemas.microsoft.com/office/drawing/2016/11/main" r:id="rId13"/>
            </a:ext>
          </a:extLst>
        </a:blip>
        <a:srcRect l="46005"/>
        <a:stretch>
          <a:fillRect/>
        </a:stretch>
      </xdr:blipFill>
      <xdr:spPr>
        <a:xfrm>
          <a:off x="7477125" y="3743325"/>
          <a:ext cx="666750" cy="885826"/>
        </a:xfrm>
        <a:prstGeom prst="rect">
          <a:avLst/>
        </a:prstGeom>
      </xdr:spPr>
    </xdr:pic>
    <xdr:clientData/>
  </xdr:twoCellAnchor>
  <xdr:twoCellAnchor>
    <xdr:from>
      <xdr:col>25</xdr:col>
      <xdr:colOff>466725</xdr:colOff>
      <xdr:row>1</xdr:row>
      <xdr:rowOff>38100</xdr:rowOff>
    </xdr:from>
    <xdr:to>
      <xdr:col>28</xdr:col>
      <xdr:colOff>85725</xdr:colOff>
      <xdr:row>3</xdr:row>
      <xdr:rowOff>133350</xdr:rowOff>
    </xdr:to>
    <xdr:sp macro="[0]!RefreshDashboard" textlink="">
      <xdr:nvSpPr>
        <xdr:cNvPr id="11" name="Rectangle: Rounded Corners 10">
          <a:extLst>
            <a:ext uri="{FF2B5EF4-FFF2-40B4-BE49-F238E27FC236}">
              <a16:creationId xmlns:a16="http://schemas.microsoft.com/office/drawing/2014/main" id="{023913E2-829D-3BEF-B123-23174DE138F7}"/>
            </a:ext>
          </a:extLst>
        </xdr:cNvPr>
        <xdr:cNvSpPr/>
      </xdr:nvSpPr>
      <xdr:spPr>
        <a:xfrm>
          <a:off x="15706725" y="219075"/>
          <a:ext cx="1447800" cy="4572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FFC000"/>
              </a:solidFill>
            </a:rPr>
            <a:t>Refresh</a:t>
          </a:r>
        </a:p>
      </xdr:txBody>
    </xdr:sp>
    <xdr:clientData/>
  </xdr:twoCellAnchor>
  <xdr:twoCellAnchor editAs="oneCell">
    <xdr:from>
      <xdr:col>27</xdr:col>
      <xdr:colOff>371475</xdr:colOff>
      <xdr:row>0</xdr:row>
      <xdr:rowOff>114300</xdr:rowOff>
    </xdr:from>
    <xdr:to>
      <xdr:col>28</xdr:col>
      <xdr:colOff>419100</xdr:colOff>
      <xdr:row>4</xdr:row>
      <xdr:rowOff>57150</xdr:rowOff>
    </xdr:to>
    <xdr:pic>
      <xdr:nvPicPr>
        <xdr:cNvPr id="52" name="Graphic 51" descr="Arrow circle with solid fill">
          <a:extLst>
            <a:ext uri="{FF2B5EF4-FFF2-40B4-BE49-F238E27FC236}">
              <a16:creationId xmlns:a16="http://schemas.microsoft.com/office/drawing/2014/main" id="{10DCC2B7-69E9-164A-BBFF-86AA5141A6B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830675" y="114300"/>
          <a:ext cx="657225" cy="666750"/>
        </a:xfrm>
        <a:prstGeom prst="rect">
          <a:avLst/>
        </a:prstGeom>
      </xdr:spPr>
    </xdr:pic>
    <xdr:clientData/>
  </xdr:twoCellAnchor>
  <xdr:twoCellAnchor>
    <xdr:from>
      <xdr:col>1</xdr:col>
      <xdr:colOff>232832</xdr:colOff>
      <xdr:row>10</xdr:row>
      <xdr:rowOff>31748</xdr:rowOff>
    </xdr:from>
    <xdr:to>
      <xdr:col>3</xdr:col>
      <xdr:colOff>201082</xdr:colOff>
      <xdr:row>13</xdr:row>
      <xdr:rowOff>52915</xdr:rowOff>
    </xdr:to>
    <xdr:sp macro="" textlink="'pivot tables'!$E$4">
      <xdr:nvSpPr>
        <xdr:cNvPr id="10" name="TextBox 9">
          <a:extLst>
            <a:ext uri="{FF2B5EF4-FFF2-40B4-BE49-F238E27FC236}">
              <a16:creationId xmlns:a16="http://schemas.microsoft.com/office/drawing/2014/main" id="{40D9F8D5-1753-1663-A512-D088161FBE21}"/>
            </a:ext>
          </a:extLst>
        </xdr:cNvPr>
        <xdr:cNvSpPr txBox="1"/>
      </xdr:nvSpPr>
      <xdr:spPr>
        <a:xfrm>
          <a:off x="846665" y="1830915"/>
          <a:ext cx="1195917" cy="560917"/>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rgbClr val="FFC000"/>
              </a:solidFill>
              <a:latin typeface="+mn-lt"/>
            </a:rPr>
            <a:t>100</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chitha Potharaju" refreshedDate="46316.843033564815" createdVersion="8" refreshedVersion="8" minRefreshableVersion="3" recordCount="100" xr:uid="{6FD284F4-A2F0-4F11-80B6-0380B8EE2E16}">
  <cacheSource type="worksheet">
    <worksheetSource name="Table1"/>
  </cacheSource>
  <cacheFields count="21">
    <cacheField name="Employee ID" numFmtId="0">
      <sharedItems containsSemiMixedTypes="0" containsString="0" containsNumber="1" containsInteger="1" minValue="10001" maxValue="10100"/>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14">
      <sharedItems containsSemiMixedTypes="0" containsNonDate="0" containsDate="1" containsString="0" minDate="2014-08-05T00:00:00" maxDate="2025-06-14T00:00:00"/>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12"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860132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01"/>
    <s v="Lori Nguyen"/>
    <x v="0"/>
    <n v="25"/>
    <x v="0"/>
    <x v="0"/>
    <x v="0"/>
    <x v="0"/>
    <s v="Luis Reynolds"/>
    <d v="2019-03-15T00:00:00"/>
    <x v="0"/>
    <x v="0"/>
    <n v="53700"/>
    <s v="C"/>
    <n v="1463"/>
    <s v="Health"/>
    <n v="1"/>
    <n v="1"/>
    <s v="Leadership Training"/>
    <x v="0"/>
    <s v="Certified Professional"/>
  </r>
  <r>
    <n v="10002"/>
    <s v="Gary Garcia"/>
    <x v="1"/>
    <n v="27"/>
    <x v="1"/>
    <x v="1"/>
    <x v="1"/>
    <x v="1"/>
    <s v="Ashley Simmons MD"/>
    <d v="2022-12-20T00:00:00"/>
    <x v="0"/>
    <x v="1"/>
    <n v="91091"/>
    <s v="B"/>
    <n v="1024"/>
    <s v="None"/>
    <n v="19"/>
    <n v="4"/>
    <s v="Excel Workshop"/>
    <x v="0"/>
    <s v="Certified Professional"/>
  </r>
  <r>
    <n v="10003"/>
    <s v="Jeremy Nguyen"/>
    <x v="1"/>
    <n v="34"/>
    <x v="1"/>
    <x v="2"/>
    <x v="2"/>
    <x v="2"/>
    <s v="Cassandra Duncan"/>
    <d v="2022-08-10T00:00:00"/>
    <x v="0"/>
    <x v="2"/>
    <n v="57538"/>
    <s v="D"/>
    <n v="1674"/>
    <s v="None"/>
    <n v="8"/>
    <n v="1"/>
    <s v="None"/>
    <x v="1"/>
    <s v="Advanced Training"/>
  </r>
  <r>
    <n v="10004"/>
    <s v="Kimberly Jones"/>
    <x v="0"/>
    <n v="41"/>
    <x v="2"/>
    <x v="2"/>
    <x v="0"/>
    <x v="3"/>
    <s v="Janet Harris"/>
    <d v="2024-09-03T00:00:00"/>
    <x v="1"/>
    <x v="0"/>
    <n v="62993"/>
    <s v="A"/>
    <n v="2695"/>
    <s v="Health + Dental"/>
    <n v="0"/>
    <n v="2"/>
    <s v="None"/>
    <x v="2"/>
    <s v="None"/>
  </r>
  <r>
    <n v="10005"/>
    <s v="Anthony Gates"/>
    <x v="1"/>
    <n v="56"/>
    <x v="3"/>
    <x v="0"/>
    <x v="0"/>
    <x v="2"/>
    <s v="Mr. Frank Clay"/>
    <d v="2019-03-14T00:00:00"/>
    <x v="1"/>
    <x v="1"/>
    <n v="45773"/>
    <s v="A"/>
    <n v="8776"/>
    <s v="Health"/>
    <n v="16"/>
    <n v="4"/>
    <s v="Leadership Training"/>
    <x v="2"/>
    <s v="None"/>
  </r>
  <r>
    <n v="10006"/>
    <s v="Courtney Foster"/>
    <x v="0"/>
    <n v="28"/>
    <x v="1"/>
    <x v="2"/>
    <x v="3"/>
    <x v="2"/>
    <s v="Dorothy Price"/>
    <d v="2017-01-23T00:00:00"/>
    <x v="0"/>
    <x v="1"/>
    <n v="96249"/>
    <s v="C"/>
    <n v="4826"/>
    <s v="Health + Dental"/>
    <n v="7"/>
    <n v="3"/>
    <s v="Leadership Training"/>
    <x v="3"/>
    <s v="Certified Professional"/>
  </r>
  <r>
    <n v="10007"/>
    <s v="Catherine Hall"/>
    <x v="0"/>
    <n v="20"/>
    <x v="0"/>
    <x v="1"/>
    <x v="2"/>
    <x v="2"/>
    <s v="Michele Sexton"/>
    <d v="2024-08-17T00:00:00"/>
    <x v="0"/>
    <x v="2"/>
    <n v="61596"/>
    <s v="C"/>
    <n v="8818"/>
    <s v="Health + Dental"/>
    <n v="4"/>
    <n v="2"/>
    <s v="Leadership Training"/>
    <x v="1"/>
    <s v="None"/>
  </r>
  <r>
    <n v="10008"/>
    <s v="Deanna Ball"/>
    <x v="0"/>
    <n v="58"/>
    <x v="3"/>
    <x v="3"/>
    <x v="1"/>
    <x v="4"/>
    <s v="Richard Schmidt"/>
    <d v="2014-12-09T00:00:00"/>
    <x v="0"/>
    <x v="2"/>
    <n v="97869"/>
    <s v="A"/>
    <n v="1966"/>
    <s v="Health"/>
    <n v="10"/>
    <n v="1"/>
    <s v="Leadership Training"/>
    <x v="0"/>
    <s v="Certified Professional"/>
  </r>
  <r>
    <n v="10009"/>
    <s v="Candace Nelson"/>
    <x v="0"/>
    <n v="44"/>
    <x v="2"/>
    <x v="3"/>
    <x v="2"/>
    <x v="2"/>
    <s v="Teresa Pearson"/>
    <d v="2021-06-28T00:00:00"/>
    <x v="0"/>
    <x v="0"/>
    <n v="81235"/>
    <s v="A"/>
    <n v="6553"/>
    <s v="None"/>
    <n v="16"/>
    <n v="2"/>
    <s v="None"/>
    <x v="1"/>
    <s v="Certified Professional"/>
  </r>
  <r>
    <n v="10010"/>
    <s v="Mandy Davis"/>
    <x v="0"/>
    <n v="29"/>
    <x v="1"/>
    <x v="1"/>
    <x v="2"/>
    <x v="3"/>
    <s v="Laura Hart"/>
    <d v="2018-05-20T00:00:00"/>
    <x v="0"/>
    <x v="1"/>
    <n v="87852"/>
    <s v="A"/>
    <n v="4980"/>
    <s v="Health + Dental"/>
    <n v="19"/>
    <n v="3"/>
    <s v="None"/>
    <x v="2"/>
    <s v="Certified Professional"/>
  </r>
  <r>
    <n v="10011"/>
    <s v="Matthew Powell"/>
    <x v="1"/>
    <n v="23"/>
    <x v="0"/>
    <x v="3"/>
    <x v="0"/>
    <x v="2"/>
    <s v="Andrea May"/>
    <d v="2017-02-13T00:00:00"/>
    <x v="1"/>
    <x v="1"/>
    <n v="59359"/>
    <s v="A"/>
    <n v="9449"/>
    <s v="Health + Dental"/>
    <n v="20"/>
    <n v="3"/>
    <s v="None"/>
    <x v="1"/>
    <s v="None"/>
  </r>
  <r>
    <n v="10012"/>
    <s v="Bruce Nelson"/>
    <x v="1"/>
    <n v="30"/>
    <x v="1"/>
    <x v="0"/>
    <x v="1"/>
    <x v="0"/>
    <s v="Casey Martin"/>
    <d v="2024-05-05T00:00:00"/>
    <x v="1"/>
    <x v="2"/>
    <n v="81225"/>
    <s v="D"/>
    <n v="6202"/>
    <s v="Health + Dental"/>
    <n v="2"/>
    <n v="2"/>
    <s v="Excel Workshop"/>
    <x v="4"/>
    <s v="Certified Professional"/>
  </r>
  <r>
    <n v="10013"/>
    <s v="Dawn Cole"/>
    <x v="0"/>
    <n v="49"/>
    <x v="4"/>
    <x v="1"/>
    <x v="0"/>
    <x v="0"/>
    <s v="Amber Allen"/>
    <d v="2022-04-19T00:00:00"/>
    <x v="1"/>
    <x v="0"/>
    <n v="32788"/>
    <s v="D"/>
    <n v="4396"/>
    <s v="Health"/>
    <n v="13"/>
    <n v="5"/>
    <s v="None"/>
    <x v="3"/>
    <s v="Advanced Training"/>
  </r>
  <r>
    <n v="10014"/>
    <s v="Tanner Morse"/>
    <x v="1"/>
    <n v="60"/>
    <x v="3"/>
    <x v="4"/>
    <x v="0"/>
    <x v="3"/>
    <s v="Adam Johnson"/>
    <d v="2015-11-16T00:00:00"/>
    <x v="1"/>
    <x v="2"/>
    <n v="70452"/>
    <s v="D"/>
    <n v="9911"/>
    <s v="None"/>
    <n v="2"/>
    <n v="1"/>
    <s v="None"/>
    <x v="3"/>
    <s v="Certified Professional"/>
  </r>
  <r>
    <n v="10015"/>
    <s v="Jose Griffin"/>
    <x v="1"/>
    <n v="46"/>
    <x v="4"/>
    <x v="1"/>
    <x v="3"/>
    <x v="0"/>
    <s v="Nicole Dominguez"/>
    <d v="2023-09-09T00:00:00"/>
    <x v="0"/>
    <x v="1"/>
    <n v="33045"/>
    <s v="B"/>
    <n v="1456"/>
    <s v="None"/>
    <n v="16"/>
    <n v="3"/>
    <s v="Excel Workshop"/>
    <x v="3"/>
    <s v="None"/>
  </r>
  <r>
    <n v="10016"/>
    <s v="Daniel Hawkins"/>
    <x v="1"/>
    <n v="57"/>
    <x v="3"/>
    <x v="2"/>
    <x v="3"/>
    <x v="1"/>
    <s v="Andrew Best"/>
    <d v="2017-12-12T00:00:00"/>
    <x v="2"/>
    <x v="2"/>
    <n v="96429"/>
    <s v="C"/>
    <n v="4740"/>
    <s v="None"/>
    <n v="8"/>
    <n v="1"/>
    <s v="Excel Workshop"/>
    <x v="2"/>
    <s v="None"/>
  </r>
  <r>
    <n v="10017"/>
    <s v="Elaine Mcclain"/>
    <x v="0"/>
    <n v="24"/>
    <x v="0"/>
    <x v="1"/>
    <x v="2"/>
    <x v="2"/>
    <s v="Gabrielle Rodriguez"/>
    <d v="2017-03-10T00:00:00"/>
    <x v="2"/>
    <x v="2"/>
    <n v="33183"/>
    <s v="A"/>
    <n v="8114"/>
    <s v="None"/>
    <n v="4"/>
    <n v="2"/>
    <s v="Excel Workshop"/>
    <x v="4"/>
    <s v="Advanced Training"/>
  </r>
  <r>
    <n v="10018"/>
    <s v="Kimberly Jones"/>
    <x v="0"/>
    <n v="35"/>
    <x v="1"/>
    <x v="4"/>
    <x v="3"/>
    <x v="0"/>
    <s v="Allison Harvey"/>
    <d v="2019-03-04T00:00:00"/>
    <x v="2"/>
    <x v="0"/>
    <n v="75065"/>
    <s v="C"/>
    <n v="7123"/>
    <s v="None"/>
    <n v="20"/>
    <n v="2"/>
    <s v="None"/>
    <x v="0"/>
    <s v="Advanced Training"/>
  </r>
  <r>
    <n v="10019"/>
    <s v="Thomas Kramer"/>
    <x v="1"/>
    <n v="41"/>
    <x v="2"/>
    <x v="1"/>
    <x v="1"/>
    <x v="4"/>
    <s v="Tristan Mejia"/>
    <d v="2022-11-20T00:00:00"/>
    <x v="0"/>
    <x v="2"/>
    <n v="32877"/>
    <s v="C"/>
    <n v="6432"/>
    <s v="Health"/>
    <n v="11"/>
    <n v="1"/>
    <s v="None"/>
    <x v="0"/>
    <s v="None"/>
  </r>
  <r>
    <n v="10020"/>
    <s v="Kevin Whitaker"/>
    <x v="1"/>
    <n v="36"/>
    <x v="2"/>
    <x v="1"/>
    <x v="4"/>
    <x v="3"/>
    <s v="Mary Welch"/>
    <d v="2021-03-02T00:00:00"/>
    <x v="0"/>
    <x v="1"/>
    <n v="46811"/>
    <s v="D"/>
    <n v="1567"/>
    <s v="None"/>
    <n v="7"/>
    <n v="3"/>
    <s v="Excel Workshop"/>
    <x v="0"/>
    <s v="Advanced Training"/>
  </r>
  <r>
    <n v="10021"/>
    <s v="Dustin Carter"/>
    <x v="1"/>
    <n v="31"/>
    <x v="1"/>
    <x v="3"/>
    <x v="2"/>
    <x v="1"/>
    <s v="Douglas Miles"/>
    <d v="2021-08-01T00:00:00"/>
    <x v="1"/>
    <x v="1"/>
    <n v="87538"/>
    <s v="C"/>
    <n v="3588"/>
    <s v="Health + Dental"/>
    <n v="11"/>
    <n v="5"/>
    <s v="Excel Workshop"/>
    <x v="2"/>
    <s v="None"/>
  </r>
  <r>
    <n v="10022"/>
    <s v="Nicole Williamson"/>
    <x v="0"/>
    <n v="28"/>
    <x v="1"/>
    <x v="0"/>
    <x v="1"/>
    <x v="4"/>
    <s v="Jessica Fleming"/>
    <d v="2015-08-14T00:00:00"/>
    <x v="0"/>
    <x v="1"/>
    <n v="73002"/>
    <s v="C"/>
    <n v="6296"/>
    <s v="Health"/>
    <n v="2"/>
    <n v="5"/>
    <s v="Excel Workshop"/>
    <x v="1"/>
    <s v="Certified Professional"/>
  </r>
  <r>
    <n v="10023"/>
    <s v="Matthew Knight"/>
    <x v="1"/>
    <n v="37"/>
    <x v="2"/>
    <x v="3"/>
    <x v="1"/>
    <x v="3"/>
    <s v="Christine Lee"/>
    <d v="2015-10-21T00:00:00"/>
    <x v="2"/>
    <x v="2"/>
    <n v="41653"/>
    <s v="D"/>
    <n v="9236"/>
    <s v="None"/>
    <n v="13"/>
    <n v="1"/>
    <s v="Excel Workshop"/>
    <x v="0"/>
    <s v="None"/>
  </r>
  <r>
    <n v="10024"/>
    <s v="Donna Jones"/>
    <x v="0"/>
    <n v="31"/>
    <x v="1"/>
    <x v="0"/>
    <x v="0"/>
    <x v="2"/>
    <s v="Mario Smith DVM"/>
    <d v="2015-03-14T00:00:00"/>
    <x v="1"/>
    <x v="1"/>
    <n v="67582"/>
    <s v="A"/>
    <n v="1375"/>
    <s v="Health"/>
    <n v="20"/>
    <n v="3"/>
    <s v="Excel Workshop"/>
    <x v="1"/>
    <s v="None"/>
  </r>
  <r>
    <n v="10025"/>
    <s v="Carolyn Bullock"/>
    <x v="0"/>
    <n v="23"/>
    <x v="0"/>
    <x v="3"/>
    <x v="1"/>
    <x v="1"/>
    <s v="Joseph Francis"/>
    <d v="2024-05-22T00:00:00"/>
    <x v="2"/>
    <x v="1"/>
    <n v="37351"/>
    <s v="D"/>
    <n v="7858"/>
    <s v="Health + Dental"/>
    <n v="18"/>
    <n v="2"/>
    <s v="Leadership Training"/>
    <x v="1"/>
    <s v="Advanced Training"/>
  </r>
  <r>
    <n v="10026"/>
    <s v="Wendy Gomez"/>
    <x v="0"/>
    <n v="48"/>
    <x v="4"/>
    <x v="4"/>
    <x v="2"/>
    <x v="0"/>
    <s v="Sarah Young"/>
    <d v="2017-03-19T00:00:00"/>
    <x v="0"/>
    <x v="1"/>
    <n v="36721"/>
    <s v="B"/>
    <n v="8820"/>
    <s v="Health + Dental"/>
    <n v="0"/>
    <n v="2"/>
    <s v="Excel Workshop"/>
    <x v="1"/>
    <s v="Certified Professional"/>
  </r>
  <r>
    <n v="10027"/>
    <s v="Michael Thomas"/>
    <x v="1"/>
    <n v="28"/>
    <x v="1"/>
    <x v="2"/>
    <x v="4"/>
    <x v="0"/>
    <s v="Aaron Hart"/>
    <d v="2021-09-15T00:00:00"/>
    <x v="1"/>
    <x v="2"/>
    <n v="46326"/>
    <s v="B"/>
    <n v="9189"/>
    <s v="Health + Dental"/>
    <n v="8"/>
    <n v="4"/>
    <s v="Leadership Training"/>
    <x v="3"/>
    <s v="Advanced Training"/>
  </r>
  <r>
    <n v="10028"/>
    <s v="Kevin Bell"/>
    <x v="1"/>
    <n v="30"/>
    <x v="1"/>
    <x v="1"/>
    <x v="3"/>
    <x v="1"/>
    <s v="Brian Boyd"/>
    <d v="2022-05-09T00:00:00"/>
    <x v="0"/>
    <x v="0"/>
    <n v="59007"/>
    <s v="C"/>
    <n v="3380"/>
    <s v="Health"/>
    <n v="17"/>
    <n v="3"/>
    <s v="None"/>
    <x v="4"/>
    <s v="Certified Professional"/>
  </r>
  <r>
    <n v="10029"/>
    <s v="Richard Landry"/>
    <x v="1"/>
    <n v="46"/>
    <x v="4"/>
    <x v="3"/>
    <x v="0"/>
    <x v="3"/>
    <s v="Steven Krueger"/>
    <d v="2017-06-22T00:00:00"/>
    <x v="0"/>
    <x v="1"/>
    <n v="52020"/>
    <s v="B"/>
    <n v="9585"/>
    <s v="Health + Dental"/>
    <n v="0"/>
    <n v="4"/>
    <s v="Excel Workshop"/>
    <x v="4"/>
    <s v="None"/>
  </r>
  <r>
    <n v="10030"/>
    <s v="George Hurley"/>
    <x v="1"/>
    <n v="44"/>
    <x v="2"/>
    <x v="1"/>
    <x v="2"/>
    <x v="1"/>
    <s v="Debra Williams"/>
    <d v="2020-11-28T00:00:00"/>
    <x v="2"/>
    <x v="1"/>
    <n v="98961"/>
    <s v="D"/>
    <n v="2688"/>
    <s v="Health"/>
    <n v="2"/>
    <n v="5"/>
    <s v="Excel Workshop"/>
    <x v="4"/>
    <s v="Certified Professional"/>
  </r>
  <r>
    <n v="10031"/>
    <s v="Mark Lopez"/>
    <x v="1"/>
    <n v="45"/>
    <x v="2"/>
    <x v="2"/>
    <x v="3"/>
    <x v="2"/>
    <s v="Karen Mitchell"/>
    <d v="2015-08-30T00:00:00"/>
    <x v="2"/>
    <x v="1"/>
    <n v="81943"/>
    <s v="C"/>
    <n v="2255"/>
    <s v="Health"/>
    <n v="18"/>
    <n v="2"/>
    <s v="None"/>
    <x v="2"/>
    <s v="Certified Professional"/>
  </r>
  <r>
    <n v="10032"/>
    <s v="Robert Williams"/>
    <x v="1"/>
    <n v="52"/>
    <x v="4"/>
    <x v="4"/>
    <x v="2"/>
    <x v="1"/>
    <s v="Joseph Sanders"/>
    <d v="2018-10-27T00:00:00"/>
    <x v="2"/>
    <x v="1"/>
    <n v="47627"/>
    <s v="C"/>
    <n v="1221"/>
    <s v="None"/>
    <n v="4"/>
    <n v="3"/>
    <s v="None"/>
    <x v="1"/>
    <s v="None"/>
  </r>
  <r>
    <n v="10033"/>
    <s v="Mary Schmidt"/>
    <x v="0"/>
    <n v="52"/>
    <x v="4"/>
    <x v="0"/>
    <x v="0"/>
    <x v="4"/>
    <s v="Shelly George"/>
    <d v="2018-08-26T00:00:00"/>
    <x v="2"/>
    <x v="1"/>
    <n v="56162"/>
    <s v="D"/>
    <n v="6560"/>
    <s v="Health + Dental"/>
    <n v="9"/>
    <n v="4"/>
    <s v="Excel Workshop"/>
    <x v="3"/>
    <s v="None"/>
  </r>
  <r>
    <n v="10034"/>
    <s v="Mary Martinez"/>
    <x v="0"/>
    <n v="42"/>
    <x v="2"/>
    <x v="1"/>
    <x v="2"/>
    <x v="2"/>
    <s v="Nicole Houston"/>
    <d v="2023-07-24T00:00:00"/>
    <x v="1"/>
    <x v="2"/>
    <n v="95734"/>
    <s v="C"/>
    <n v="4854"/>
    <s v="Health"/>
    <n v="13"/>
    <n v="2"/>
    <s v="Leadership Training"/>
    <x v="0"/>
    <s v="Certified Professional"/>
  </r>
  <r>
    <n v="10035"/>
    <s v="Paul Hall"/>
    <x v="1"/>
    <n v="58"/>
    <x v="3"/>
    <x v="1"/>
    <x v="1"/>
    <x v="3"/>
    <s v="Kristin Shaffer"/>
    <d v="2018-07-09T00:00:00"/>
    <x v="1"/>
    <x v="2"/>
    <n v="74789"/>
    <s v="C"/>
    <n v="8101"/>
    <s v="Health + Dental"/>
    <n v="14"/>
    <n v="5"/>
    <s v="Excel Workshop"/>
    <x v="2"/>
    <s v="None"/>
  </r>
  <r>
    <n v="10036"/>
    <s v="Samantha Foster"/>
    <x v="0"/>
    <n v="24"/>
    <x v="0"/>
    <x v="4"/>
    <x v="0"/>
    <x v="3"/>
    <s v="Joel Aguilar"/>
    <d v="2016-12-21T00:00:00"/>
    <x v="0"/>
    <x v="2"/>
    <n v="30137"/>
    <s v="B"/>
    <n v="4031"/>
    <s v="None"/>
    <n v="5"/>
    <n v="3"/>
    <s v="None"/>
    <x v="1"/>
    <s v="Certified Professional"/>
  </r>
  <r>
    <n v="10037"/>
    <s v="Timothy Aguilar"/>
    <x v="1"/>
    <n v="21"/>
    <x v="0"/>
    <x v="1"/>
    <x v="0"/>
    <x v="0"/>
    <s v="Michael Wade"/>
    <d v="2019-06-27T00:00:00"/>
    <x v="0"/>
    <x v="2"/>
    <n v="95510"/>
    <s v="C"/>
    <n v="6811"/>
    <s v="Health"/>
    <n v="18"/>
    <n v="4"/>
    <s v="Excel Workshop"/>
    <x v="4"/>
    <s v="Certified Professional"/>
  </r>
  <r>
    <n v="10038"/>
    <s v="Charles Andrews"/>
    <x v="1"/>
    <n v="58"/>
    <x v="3"/>
    <x v="1"/>
    <x v="3"/>
    <x v="0"/>
    <s v="Jessica Walsh"/>
    <d v="2021-08-27T00:00:00"/>
    <x v="1"/>
    <x v="0"/>
    <n v="80325"/>
    <s v="B"/>
    <n v="6230"/>
    <s v="Health"/>
    <n v="5"/>
    <n v="4"/>
    <s v="None"/>
    <x v="2"/>
    <s v="Advanced Training"/>
  </r>
  <r>
    <n v="10039"/>
    <s v="Veronica Nelson"/>
    <x v="0"/>
    <n v="57"/>
    <x v="3"/>
    <x v="3"/>
    <x v="4"/>
    <x v="4"/>
    <s v="Kelly Mack"/>
    <d v="2017-05-28T00:00:00"/>
    <x v="2"/>
    <x v="1"/>
    <n v="34109"/>
    <s v="B"/>
    <n v="9232"/>
    <s v="Health"/>
    <n v="13"/>
    <n v="3"/>
    <s v="Leadership Training"/>
    <x v="0"/>
    <s v="Certified Professional"/>
  </r>
  <r>
    <n v="10040"/>
    <s v="Chris Sanchez"/>
    <x v="1"/>
    <n v="41"/>
    <x v="2"/>
    <x v="3"/>
    <x v="3"/>
    <x v="0"/>
    <s v="John Conley"/>
    <d v="2022-01-30T00:00:00"/>
    <x v="2"/>
    <x v="2"/>
    <n v="73330"/>
    <s v="C"/>
    <n v="2276"/>
    <s v="Health + Dental"/>
    <n v="5"/>
    <n v="1"/>
    <s v="None"/>
    <x v="1"/>
    <s v="Advanced Training"/>
  </r>
  <r>
    <n v="10041"/>
    <s v="Cassie Galvan"/>
    <x v="0"/>
    <n v="58"/>
    <x v="3"/>
    <x v="2"/>
    <x v="2"/>
    <x v="1"/>
    <s v="Aaron Baker"/>
    <d v="2017-04-20T00:00:00"/>
    <x v="1"/>
    <x v="2"/>
    <n v="46567"/>
    <s v="A"/>
    <n v="2825"/>
    <s v="Health"/>
    <n v="15"/>
    <n v="3"/>
    <s v="None"/>
    <x v="4"/>
    <s v="Advanced Training"/>
  </r>
  <r>
    <n v="10042"/>
    <s v="Jessica Jones"/>
    <x v="0"/>
    <n v="36"/>
    <x v="2"/>
    <x v="0"/>
    <x v="4"/>
    <x v="0"/>
    <s v="Christopher Bass"/>
    <d v="2019-07-22T00:00:00"/>
    <x v="1"/>
    <x v="1"/>
    <n v="39795"/>
    <s v="A"/>
    <n v="1670"/>
    <s v="None"/>
    <n v="0"/>
    <n v="2"/>
    <s v="Excel Workshop"/>
    <x v="3"/>
    <s v="None"/>
  </r>
  <r>
    <n v="10043"/>
    <s v="Emily Walker"/>
    <x v="0"/>
    <n v="21"/>
    <x v="0"/>
    <x v="0"/>
    <x v="0"/>
    <x v="4"/>
    <s v="Sean Tucker PhD"/>
    <d v="2018-11-29T00:00:00"/>
    <x v="1"/>
    <x v="2"/>
    <n v="59506"/>
    <s v="A"/>
    <n v="4428"/>
    <s v="Health + Dental"/>
    <n v="0"/>
    <n v="1"/>
    <s v="None"/>
    <x v="3"/>
    <s v="Certified Professional"/>
  </r>
  <r>
    <n v="10044"/>
    <s v="Vickie Lewis"/>
    <x v="0"/>
    <n v="46"/>
    <x v="4"/>
    <x v="2"/>
    <x v="1"/>
    <x v="4"/>
    <s v="Jacob Scott"/>
    <d v="2022-11-14T00:00:00"/>
    <x v="1"/>
    <x v="2"/>
    <n v="49058"/>
    <s v="B"/>
    <n v="4396"/>
    <s v="None"/>
    <n v="5"/>
    <n v="1"/>
    <s v="None"/>
    <x v="3"/>
    <s v="None"/>
  </r>
  <r>
    <n v="10045"/>
    <s v="Alexis Clark"/>
    <x v="0"/>
    <n v="36"/>
    <x v="2"/>
    <x v="3"/>
    <x v="2"/>
    <x v="4"/>
    <s v="Joel Park"/>
    <d v="2016-02-23T00:00:00"/>
    <x v="1"/>
    <x v="0"/>
    <n v="98612"/>
    <s v="A"/>
    <n v="1168"/>
    <s v="None"/>
    <n v="9"/>
    <n v="2"/>
    <s v="Excel Workshop"/>
    <x v="0"/>
    <s v="Certified Professional"/>
  </r>
  <r>
    <n v="10046"/>
    <s v="Robert Davis"/>
    <x v="1"/>
    <n v="41"/>
    <x v="2"/>
    <x v="4"/>
    <x v="3"/>
    <x v="1"/>
    <s v="Russell Marshall"/>
    <d v="2018-05-18T00:00:00"/>
    <x v="2"/>
    <x v="1"/>
    <n v="38201"/>
    <s v="A"/>
    <n v="7111"/>
    <s v="Health"/>
    <n v="8"/>
    <n v="4"/>
    <s v="Leadership Training"/>
    <x v="3"/>
    <s v="None"/>
  </r>
  <r>
    <n v="10047"/>
    <s v="Daniel Brown MD"/>
    <x v="1"/>
    <n v="25"/>
    <x v="0"/>
    <x v="0"/>
    <x v="2"/>
    <x v="2"/>
    <s v="James Holden"/>
    <d v="2024-03-09T00:00:00"/>
    <x v="2"/>
    <x v="1"/>
    <n v="92919"/>
    <s v="D"/>
    <n v="9497"/>
    <s v="Health"/>
    <n v="7"/>
    <n v="2"/>
    <s v="None"/>
    <x v="3"/>
    <s v="Advanced Training"/>
  </r>
  <r>
    <n v="10048"/>
    <s v="Anna Payne"/>
    <x v="0"/>
    <n v="29"/>
    <x v="1"/>
    <x v="4"/>
    <x v="0"/>
    <x v="1"/>
    <s v="Thomas Murphy"/>
    <d v="2024-03-27T00:00:00"/>
    <x v="0"/>
    <x v="2"/>
    <n v="45188"/>
    <s v="A"/>
    <n v="9591"/>
    <s v="Health + Dental"/>
    <n v="18"/>
    <n v="3"/>
    <s v="Leadership Training"/>
    <x v="3"/>
    <s v="None"/>
  </r>
  <r>
    <n v="10049"/>
    <s v="Rhonda Pena"/>
    <x v="0"/>
    <n v="59"/>
    <x v="3"/>
    <x v="2"/>
    <x v="1"/>
    <x v="0"/>
    <s v="Mark Abbott"/>
    <d v="2019-12-23T00:00:00"/>
    <x v="0"/>
    <x v="1"/>
    <n v="34927"/>
    <s v="D"/>
    <n v="6996"/>
    <s v="Health + Dental"/>
    <n v="16"/>
    <n v="1"/>
    <s v="Excel Workshop"/>
    <x v="0"/>
    <s v="Certified Professional"/>
  </r>
  <r>
    <n v="10050"/>
    <s v="Unknown"/>
    <x v="0"/>
    <n v="27"/>
    <x v="1"/>
    <x v="0"/>
    <x v="2"/>
    <x v="3"/>
    <s v="Robin Lynch"/>
    <d v="2016-08-25T00:00:00"/>
    <x v="0"/>
    <x v="1"/>
    <n v="33183"/>
    <s v="A"/>
    <n v="1659"/>
    <s v="None"/>
    <n v="11"/>
    <n v="1"/>
    <s v="Leadership Training"/>
    <x v="2"/>
    <s v="None"/>
  </r>
  <r>
    <n v="10051"/>
    <s v="Henry Taylor"/>
    <x v="0"/>
    <n v="58"/>
    <x v="3"/>
    <x v="1"/>
    <x v="2"/>
    <x v="4"/>
    <s v="Michael Scott"/>
    <d v="2021-05-30T00:00:00"/>
    <x v="2"/>
    <x v="0"/>
    <n v="69488"/>
    <s v="D"/>
    <n v="8580"/>
    <s v="Health + Dental"/>
    <n v="17"/>
    <n v="4"/>
    <s v="Excel Workshop"/>
    <x v="3"/>
    <s v="Advanced Training"/>
  </r>
  <r>
    <n v="10052"/>
    <s v="Grace Lewis"/>
    <x v="0"/>
    <n v="30"/>
    <x v="1"/>
    <x v="3"/>
    <x v="0"/>
    <x v="2"/>
    <s v="Michael Scott"/>
    <d v="2017-01-24T00:00:00"/>
    <x v="0"/>
    <x v="0"/>
    <n v="91851"/>
    <s v="A"/>
    <n v="2168"/>
    <s v="None"/>
    <n v="18"/>
    <n v="5"/>
    <s v="Excel Workshop"/>
    <x v="1"/>
    <s v="Certified Professional"/>
  </r>
  <r>
    <n v="10053"/>
    <s v="Ava King"/>
    <x v="0"/>
    <n v="48"/>
    <x v="4"/>
    <x v="3"/>
    <x v="2"/>
    <x v="1"/>
    <s v="Sarah Adams"/>
    <d v="2021-03-13T00:00:00"/>
    <x v="0"/>
    <x v="2"/>
    <n v="51460"/>
    <s v="C"/>
    <n v="8859"/>
    <s v="Health"/>
    <n v="7"/>
    <n v="4"/>
    <s v="Excel Workshop"/>
    <x v="1"/>
    <s v="Advanced Training"/>
  </r>
  <r>
    <n v="10054"/>
    <s v="Sophia Thomas"/>
    <x v="1"/>
    <n v="39"/>
    <x v="2"/>
    <x v="4"/>
    <x v="2"/>
    <x v="2"/>
    <s v="Robert King"/>
    <d v="2017-08-02T00:00:00"/>
    <x v="0"/>
    <x v="1"/>
    <n v="84341"/>
    <s v="B"/>
    <n v="3800"/>
    <s v="Health + Dental"/>
    <n v="3"/>
    <n v="5"/>
    <s v="Leadership Training"/>
    <x v="4"/>
    <s v="Certified Professional"/>
  </r>
  <r>
    <n v="10055"/>
    <s v="Grace Young"/>
    <x v="0"/>
    <n v="33"/>
    <x v="1"/>
    <x v="4"/>
    <x v="1"/>
    <x v="3"/>
    <s v="Robert King"/>
    <d v="2017-04-14T00:00:00"/>
    <x v="0"/>
    <x v="2"/>
    <n v="77360"/>
    <s v="B"/>
    <n v="2665"/>
    <s v="Health"/>
    <n v="5"/>
    <n v="3"/>
    <s v="None"/>
    <x v="2"/>
    <s v="None"/>
  </r>
  <r>
    <n v="10056"/>
    <s v="Mason Walker"/>
    <x v="1"/>
    <n v="49"/>
    <x v="4"/>
    <x v="4"/>
    <x v="4"/>
    <x v="2"/>
    <s v="Robert King"/>
    <d v="2022-11-07T00:00:00"/>
    <x v="1"/>
    <x v="1"/>
    <n v="72691"/>
    <s v="C"/>
    <n v="7797"/>
    <s v="Health + Dental"/>
    <n v="12"/>
    <n v="5"/>
    <s v="Excel Workshop"/>
    <x v="0"/>
    <s v="Certified Professional"/>
  </r>
  <r>
    <n v="10057"/>
    <s v="Henry Wilson"/>
    <x v="0"/>
    <n v="43"/>
    <x v="2"/>
    <x v="4"/>
    <x v="2"/>
    <x v="1"/>
    <s v="Emily Davis"/>
    <d v="2025-01-25T00:00:00"/>
    <x v="1"/>
    <x v="2"/>
    <n v="74746"/>
    <s v="D"/>
    <n v="4644"/>
    <s v="None"/>
    <n v="16"/>
    <n v="3"/>
    <s v="Leadership Training"/>
    <x v="0"/>
    <s v="None"/>
  </r>
  <r>
    <n v="10058"/>
    <s v="Noah Martin"/>
    <x v="1"/>
    <n v="29"/>
    <x v="1"/>
    <x v="3"/>
    <x v="1"/>
    <x v="2"/>
    <s v="John Carter"/>
    <d v="2016-07-18T00:00:00"/>
    <x v="2"/>
    <x v="2"/>
    <n v="95491"/>
    <s v="A"/>
    <n v="8819"/>
    <s v="Health + Dental"/>
    <n v="0"/>
    <n v="5"/>
    <s v="None"/>
    <x v="2"/>
    <s v="None"/>
  </r>
  <r>
    <n v="10059"/>
    <s v="Mason Wilson"/>
    <x v="0"/>
    <n v="60"/>
    <x v="3"/>
    <x v="0"/>
    <x v="0"/>
    <x v="0"/>
    <s v="Emily Davis"/>
    <d v="2020-05-09T00:00:00"/>
    <x v="0"/>
    <x v="1"/>
    <n v="95671"/>
    <s v="D"/>
    <n v="2643"/>
    <s v="Health + Dental"/>
    <n v="18"/>
    <n v="1"/>
    <s v="None"/>
    <x v="2"/>
    <s v="None"/>
  </r>
  <r>
    <n v="10060"/>
    <s v="Lucas Moore"/>
    <x v="0"/>
    <n v="42"/>
    <x v="2"/>
    <x v="0"/>
    <x v="2"/>
    <x v="2"/>
    <s v="John Carter"/>
    <d v="2022-07-06T00:00:00"/>
    <x v="0"/>
    <x v="1"/>
    <n v="40925"/>
    <s v="C"/>
    <n v="4223"/>
    <s v="None"/>
    <n v="16"/>
    <n v="5"/>
    <s v="Excel Workshop"/>
    <x v="2"/>
    <s v="Advanced Training"/>
  </r>
  <r>
    <n v="10061"/>
    <s v="Mason Hall"/>
    <x v="0"/>
    <n v="36"/>
    <x v="2"/>
    <x v="3"/>
    <x v="1"/>
    <x v="1"/>
    <s v="Emily Davis"/>
    <d v="2020-02-06T00:00:00"/>
    <x v="1"/>
    <x v="1"/>
    <n v="64593"/>
    <s v="C"/>
    <n v="6492"/>
    <s v="None"/>
    <n v="2"/>
    <n v="3"/>
    <s v="None"/>
    <x v="0"/>
    <s v="Certified Professional"/>
  </r>
  <r>
    <n v="10062"/>
    <s v="Noah Walker"/>
    <x v="1"/>
    <n v="33"/>
    <x v="1"/>
    <x v="0"/>
    <x v="4"/>
    <x v="0"/>
    <s v="Emily Davis"/>
    <d v="2024-11-20T00:00:00"/>
    <x v="1"/>
    <x v="2"/>
    <n v="44149"/>
    <s v="C"/>
    <n v="7407"/>
    <s v="Health"/>
    <n v="17"/>
    <n v="3"/>
    <s v="None"/>
    <x v="4"/>
    <s v="None"/>
  </r>
  <r>
    <n v="10063"/>
    <s v="Noah Moore"/>
    <x v="0"/>
    <n v="31"/>
    <x v="1"/>
    <x v="0"/>
    <x v="4"/>
    <x v="0"/>
    <s v="John Carter"/>
    <d v="2015-09-26T00:00:00"/>
    <x v="0"/>
    <x v="0"/>
    <n v="52519"/>
    <s v="C"/>
    <n v="2677"/>
    <s v="Health"/>
    <n v="14"/>
    <n v="1"/>
    <s v="Excel Workshop"/>
    <x v="3"/>
    <s v="None"/>
  </r>
  <r>
    <n v="10064"/>
    <s v="Isabella Clark"/>
    <x v="1"/>
    <n v="45"/>
    <x v="2"/>
    <x v="0"/>
    <x v="3"/>
    <x v="2"/>
    <s v="Michael Scott"/>
    <d v="2022-02-15T00:00:00"/>
    <x v="1"/>
    <x v="0"/>
    <n v="95503"/>
    <s v="D"/>
    <n v="6862"/>
    <s v="Health"/>
    <n v="5"/>
    <n v="2"/>
    <s v="Excel Workshop"/>
    <x v="3"/>
    <s v="None"/>
  </r>
  <r>
    <n v="10065"/>
    <s v="Grace Lewis"/>
    <x v="1"/>
    <n v="21"/>
    <x v="0"/>
    <x v="1"/>
    <x v="1"/>
    <x v="3"/>
    <s v="John Carter"/>
    <d v="2020-04-24T00:00:00"/>
    <x v="1"/>
    <x v="1"/>
    <n v="74633"/>
    <s v="C"/>
    <n v="4970"/>
    <s v="Health + Dental"/>
    <n v="14"/>
    <n v="4"/>
    <s v="None"/>
    <x v="0"/>
    <s v="None"/>
  </r>
  <r>
    <n v="10066"/>
    <s v="Henry Johnson"/>
    <x v="1"/>
    <n v="25"/>
    <x v="0"/>
    <x v="3"/>
    <x v="1"/>
    <x v="2"/>
    <s v="Emily Davis"/>
    <d v="2021-03-27T00:00:00"/>
    <x v="2"/>
    <x v="0"/>
    <n v="45687"/>
    <s v="C"/>
    <n v="9351"/>
    <s v="Health"/>
    <n v="4"/>
    <n v="4"/>
    <s v="None"/>
    <x v="4"/>
    <s v="Certified Professional"/>
  </r>
  <r>
    <n v="10067"/>
    <s v="Noah Martin"/>
    <x v="1"/>
    <n v="21"/>
    <x v="0"/>
    <x v="4"/>
    <x v="3"/>
    <x v="1"/>
    <s v="Emily Davis"/>
    <d v="2019-03-23T00:00:00"/>
    <x v="0"/>
    <x v="2"/>
    <n v="38728"/>
    <s v="A"/>
    <n v="2444"/>
    <s v="Health"/>
    <n v="2"/>
    <n v="2"/>
    <s v="Leadership Training"/>
    <x v="1"/>
    <s v="None"/>
  </r>
  <r>
    <n v="10068"/>
    <s v="Mia Lee"/>
    <x v="0"/>
    <n v="52"/>
    <x v="4"/>
    <x v="1"/>
    <x v="3"/>
    <x v="4"/>
    <s v="Michael Scott"/>
    <d v="2016-03-02T00:00:00"/>
    <x v="1"/>
    <x v="0"/>
    <n v="52630"/>
    <s v="B"/>
    <n v="4861"/>
    <s v="Health + Dental"/>
    <n v="18"/>
    <n v="3"/>
    <s v="Leadership Training"/>
    <x v="4"/>
    <s v="None"/>
  </r>
  <r>
    <n v="10069"/>
    <s v="Ethan King"/>
    <x v="0"/>
    <n v="59"/>
    <x v="3"/>
    <x v="3"/>
    <x v="3"/>
    <x v="1"/>
    <s v="Emily Davis"/>
    <d v="2020-08-03T00:00:00"/>
    <x v="2"/>
    <x v="1"/>
    <n v="43990"/>
    <s v="A"/>
    <n v="6110"/>
    <s v="Health"/>
    <n v="6"/>
    <n v="5"/>
    <s v="Excel Workshop"/>
    <x v="1"/>
    <s v="Advanced Training"/>
  </r>
  <r>
    <n v="10070"/>
    <s v="Olivia Brown"/>
    <x v="1"/>
    <n v="40"/>
    <x v="2"/>
    <x v="3"/>
    <x v="4"/>
    <x v="2"/>
    <s v="Lisa Brown"/>
    <d v="2025-06-06T00:00:00"/>
    <x v="1"/>
    <x v="0"/>
    <n v="94985"/>
    <s v="A"/>
    <n v="1488"/>
    <s v="None"/>
    <n v="19"/>
    <n v="4"/>
    <s v="Leadership Training"/>
    <x v="3"/>
    <s v="Advanced Training"/>
  </r>
  <r>
    <n v="10071"/>
    <s v="Liam King"/>
    <x v="1"/>
    <n v="50"/>
    <x v="4"/>
    <x v="1"/>
    <x v="2"/>
    <x v="2"/>
    <s v="Emily Davis"/>
    <d v="2021-11-05T00:00:00"/>
    <x v="1"/>
    <x v="1"/>
    <n v="65838"/>
    <s v="B"/>
    <n v="9661"/>
    <s v="None"/>
    <n v="10"/>
    <n v="1"/>
    <s v="None"/>
    <x v="4"/>
    <s v="Advanced Training"/>
  </r>
  <r>
    <n v="10072"/>
    <s v="Isabella Thomas"/>
    <x v="0"/>
    <n v="25"/>
    <x v="0"/>
    <x v="4"/>
    <x v="0"/>
    <x v="0"/>
    <s v="Lisa Brown"/>
    <d v="2015-08-30T00:00:00"/>
    <x v="2"/>
    <x v="2"/>
    <n v="55313"/>
    <s v="D"/>
    <n v="2421"/>
    <s v="None"/>
    <n v="18"/>
    <n v="3"/>
    <s v="Leadership Training"/>
    <x v="3"/>
    <s v="None"/>
  </r>
  <r>
    <n v="10073"/>
    <s v="Liam Young"/>
    <x v="0"/>
    <n v="42"/>
    <x v="2"/>
    <x v="4"/>
    <x v="4"/>
    <x v="2"/>
    <s v="Lisa Brown"/>
    <d v="2020-11-06T00:00:00"/>
    <x v="1"/>
    <x v="1"/>
    <n v="44964"/>
    <s v="B"/>
    <n v="6062"/>
    <s v="None"/>
    <n v="18"/>
    <n v="3"/>
    <s v="Excel Workshop"/>
    <x v="0"/>
    <s v="Certified Professional"/>
  </r>
  <r>
    <n v="10074"/>
    <s v="Ava Martin"/>
    <x v="1"/>
    <n v="60"/>
    <x v="3"/>
    <x v="0"/>
    <x v="4"/>
    <x v="4"/>
    <s v="Sarah Adams"/>
    <d v="2025-06-13T00:00:00"/>
    <x v="0"/>
    <x v="1"/>
    <n v="32801"/>
    <s v="B"/>
    <n v="7841"/>
    <s v="Health + Dental"/>
    <n v="19"/>
    <n v="4"/>
    <s v="None"/>
    <x v="2"/>
    <s v="None"/>
  </r>
  <r>
    <n v="10075"/>
    <s v="James Taylor"/>
    <x v="1"/>
    <n v="59"/>
    <x v="3"/>
    <x v="1"/>
    <x v="4"/>
    <x v="1"/>
    <s v="Michael Scott"/>
    <d v="2025-04-01T00:00:00"/>
    <x v="0"/>
    <x v="0"/>
    <n v="91316"/>
    <s v="C"/>
    <n v="9911"/>
    <s v="Health"/>
    <n v="14"/>
    <n v="3"/>
    <s v="Excel Workshop"/>
    <x v="2"/>
    <s v="Certified Professional"/>
  </r>
  <r>
    <n v="10076"/>
    <s v="Aria Hall"/>
    <x v="0"/>
    <n v="58"/>
    <x v="3"/>
    <x v="2"/>
    <x v="4"/>
    <x v="1"/>
    <s v="Emily Davis"/>
    <d v="2016-10-12T00:00:00"/>
    <x v="2"/>
    <x v="1"/>
    <n v="39073"/>
    <s v="D"/>
    <n v="6895"/>
    <s v="None"/>
    <n v="8"/>
    <n v="1"/>
    <s v="None"/>
    <x v="3"/>
    <s v="Advanced Training"/>
  </r>
  <r>
    <n v="10077"/>
    <s v="Ava Johnson"/>
    <x v="0"/>
    <n v="49"/>
    <x v="4"/>
    <x v="0"/>
    <x v="0"/>
    <x v="0"/>
    <s v="Lisa Brown"/>
    <d v="2018-08-03T00:00:00"/>
    <x v="1"/>
    <x v="1"/>
    <n v="65508"/>
    <s v="C"/>
    <n v="1012"/>
    <s v="None"/>
    <n v="13"/>
    <n v="5"/>
    <s v="None"/>
    <x v="1"/>
    <s v="None"/>
  </r>
  <r>
    <n v="10078"/>
    <s v="Sophia King"/>
    <x v="1"/>
    <n v="27"/>
    <x v="1"/>
    <x v="1"/>
    <x v="3"/>
    <x v="2"/>
    <s v="Michael Scott"/>
    <d v="2021-12-03T00:00:00"/>
    <x v="0"/>
    <x v="2"/>
    <n v="32152"/>
    <s v="B"/>
    <n v="2312"/>
    <s v="Health"/>
    <n v="7"/>
    <n v="2"/>
    <s v="None"/>
    <x v="1"/>
    <s v="Certified Professional"/>
  </r>
  <r>
    <n v="10079"/>
    <s v="Ethan King"/>
    <x v="1"/>
    <n v="35"/>
    <x v="1"/>
    <x v="3"/>
    <x v="0"/>
    <x v="4"/>
    <s v="Robert King"/>
    <d v="2022-12-30T00:00:00"/>
    <x v="2"/>
    <x v="0"/>
    <n v="85710"/>
    <s v="C"/>
    <n v="3870"/>
    <s v="None"/>
    <n v="12"/>
    <n v="1"/>
    <s v="None"/>
    <x v="2"/>
    <s v="Certified Professional"/>
  </r>
  <r>
    <n v="10080"/>
    <s v="Aria Hall"/>
    <x v="0"/>
    <n v="38"/>
    <x v="2"/>
    <x v="1"/>
    <x v="1"/>
    <x v="1"/>
    <s v="Robert King"/>
    <d v="2019-11-01T00:00:00"/>
    <x v="0"/>
    <x v="2"/>
    <n v="73232"/>
    <s v="B"/>
    <n v="5506"/>
    <s v="Health + Dental"/>
    <n v="9"/>
    <n v="1"/>
    <s v="Leadership Training"/>
    <x v="0"/>
    <s v="Certified Professional"/>
  </r>
  <r>
    <n v="10081"/>
    <s v="Isabella Johnson"/>
    <x v="0"/>
    <n v="23"/>
    <x v="0"/>
    <x v="4"/>
    <x v="2"/>
    <x v="1"/>
    <s v="Michael Scott"/>
    <d v="2024-04-07T00:00:00"/>
    <x v="0"/>
    <x v="0"/>
    <n v="33994"/>
    <s v="B"/>
    <n v="1162"/>
    <s v="Health"/>
    <n v="5"/>
    <n v="1"/>
    <s v="Leadership Training"/>
    <x v="3"/>
    <s v="Certified Professional"/>
  </r>
  <r>
    <n v="10082"/>
    <s v="Henry Lee"/>
    <x v="1"/>
    <n v="52"/>
    <x v="4"/>
    <x v="2"/>
    <x v="0"/>
    <x v="1"/>
    <s v="Emily Davis"/>
    <d v="2025-04-27T00:00:00"/>
    <x v="1"/>
    <x v="0"/>
    <n v="32395"/>
    <s v="B"/>
    <n v="3515"/>
    <s v="Health + Dental"/>
    <n v="4"/>
    <n v="5"/>
    <s v="Leadership Training"/>
    <x v="0"/>
    <s v="Certified Professional"/>
  </r>
  <r>
    <n v="10083"/>
    <s v="Olivia Taylor"/>
    <x v="1"/>
    <n v="50"/>
    <x v="4"/>
    <x v="2"/>
    <x v="4"/>
    <x v="4"/>
    <s v="Emily Davis"/>
    <d v="2020-11-27T00:00:00"/>
    <x v="2"/>
    <x v="2"/>
    <n v="88353"/>
    <s v="B"/>
    <n v="6847"/>
    <s v="Health"/>
    <n v="15"/>
    <n v="5"/>
    <s v="Leadership Training"/>
    <x v="1"/>
    <s v="Advanced Training"/>
  </r>
  <r>
    <n v="10084"/>
    <s v="Liam Hall"/>
    <x v="0"/>
    <n v="34"/>
    <x v="1"/>
    <x v="3"/>
    <x v="4"/>
    <x v="1"/>
    <s v="John Carter"/>
    <d v="2025-03-27T00:00:00"/>
    <x v="2"/>
    <x v="0"/>
    <n v="47269"/>
    <s v="B"/>
    <n v="5626"/>
    <s v="None"/>
    <n v="14"/>
    <n v="3"/>
    <s v="Leadership Training"/>
    <x v="0"/>
    <s v="Certified Professional"/>
  </r>
  <r>
    <n v="10085"/>
    <s v="Emma Taylor"/>
    <x v="0"/>
    <n v="40"/>
    <x v="2"/>
    <x v="1"/>
    <x v="4"/>
    <x v="4"/>
    <s v="Robert King"/>
    <d v="2014-08-05T00:00:00"/>
    <x v="0"/>
    <x v="0"/>
    <n v="73454"/>
    <s v="B"/>
    <n v="4686"/>
    <s v="None"/>
    <n v="3"/>
    <n v="5"/>
    <s v="Excel Workshop"/>
    <x v="2"/>
    <s v="None"/>
  </r>
  <r>
    <n v="10086"/>
    <s v="Mason Johnson"/>
    <x v="1"/>
    <n v="40"/>
    <x v="2"/>
    <x v="1"/>
    <x v="4"/>
    <x v="0"/>
    <s v="Michael Scott"/>
    <d v="2017-08-03T00:00:00"/>
    <x v="0"/>
    <x v="0"/>
    <n v="94864"/>
    <s v="C"/>
    <n v="3983"/>
    <s v="Health + Dental"/>
    <n v="18"/>
    <n v="3"/>
    <s v="Excel Workshop"/>
    <x v="4"/>
    <s v="Certified Professional"/>
  </r>
  <r>
    <n v="10087"/>
    <s v="Olivia Brown"/>
    <x v="1"/>
    <n v="52"/>
    <x v="4"/>
    <x v="3"/>
    <x v="0"/>
    <x v="1"/>
    <s v="Sarah Adams"/>
    <d v="2016-05-17T00:00:00"/>
    <x v="0"/>
    <x v="0"/>
    <n v="87544"/>
    <s v="C"/>
    <n v="5916"/>
    <s v="Health"/>
    <n v="10"/>
    <n v="4"/>
    <s v="Excel Workshop"/>
    <x v="2"/>
    <s v="Advanced Training"/>
  </r>
  <r>
    <n v="10088"/>
    <s v="Liam Moore"/>
    <x v="1"/>
    <n v="31"/>
    <x v="1"/>
    <x v="1"/>
    <x v="3"/>
    <x v="3"/>
    <s v="Sarah Adams"/>
    <d v="2025-01-12T00:00:00"/>
    <x v="0"/>
    <x v="0"/>
    <n v="38951"/>
    <s v="B"/>
    <n v="9412"/>
    <s v="None"/>
    <n v="17"/>
    <n v="5"/>
    <s v="Excel Workshop"/>
    <x v="4"/>
    <s v="Certified Professional"/>
  </r>
  <r>
    <n v="10089"/>
    <s v="Noah Lee"/>
    <x v="1"/>
    <n v="47"/>
    <x v="4"/>
    <x v="2"/>
    <x v="0"/>
    <x v="4"/>
    <s v="Robert King"/>
    <d v="2023-03-07T00:00:00"/>
    <x v="1"/>
    <x v="2"/>
    <n v="70521"/>
    <s v="B"/>
    <n v="8471"/>
    <s v="Health"/>
    <n v="7"/>
    <n v="2"/>
    <s v="Excel Workshop"/>
    <x v="2"/>
    <s v="Advanced Training"/>
  </r>
  <r>
    <n v="10090"/>
    <s v="Grace Lee"/>
    <x v="1"/>
    <n v="40"/>
    <x v="2"/>
    <x v="3"/>
    <x v="3"/>
    <x v="2"/>
    <s v="Emily Davis"/>
    <d v="2025-01-07T00:00:00"/>
    <x v="0"/>
    <x v="0"/>
    <n v="94677"/>
    <s v="C"/>
    <n v="1436"/>
    <s v="None"/>
    <n v="18"/>
    <n v="3"/>
    <s v="None"/>
    <x v="0"/>
    <s v="Certified Professional"/>
  </r>
  <r>
    <n v="10091"/>
    <s v="Grace Walker"/>
    <x v="1"/>
    <n v="39"/>
    <x v="2"/>
    <x v="4"/>
    <x v="0"/>
    <x v="1"/>
    <s v="Emily Davis"/>
    <d v="2019-08-18T00:00:00"/>
    <x v="2"/>
    <x v="1"/>
    <n v="53505"/>
    <s v="A"/>
    <n v="6751"/>
    <s v="Health"/>
    <n v="16"/>
    <n v="2"/>
    <s v="Excel Workshop"/>
    <x v="0"/>
    <s v="Certified Professional"/>
  </r>
  <r>
    <n v="10092"/>
    <s v="Grace Lee"/>
    <x v="1"/>
    <n v="36"/>
    <x v="2"/>
    <x v="3"/>
    <x v="2"/>
    <x v="2"/>
    <s v="Michael Scott"/>
    <d v="2025-01-18T00:00:00"/>
    <x v="0"/>
    <x v="2"/>
    <n v="51335"/>
    <s v="D"/>
    <n v="8535"/>
    <s v="None"/>
    <n v="2"/>
    <n v="5"/>
    <s v="Excel Workshop"/>
    <x v="0"/>
    <s v="Certified Professional"/>
  </r>
  <r>
    <n v="10093"/>
    <s v="Noah Lewis"/>
    <x v="0"/>
    <n v="46"/>
    <x v="4"/>
    <x v="1"/>
    <x v="1"/>
    <x v="1"/>
    <s v="Emily Davis"/>
    <d v="2022-09-11T00:00:00"/>
    <x v="0"/>
    <x v="1"/>
    <n v="96587"/>
    <s v="D"/>
    <n v="4148"/>
    <s v="Health + Dental"/>
    <n v="15"/>
    <n v="1"/>
    <s v="None"/>
    <x v="4"/>
    <s v="Certified Professional"/>
  </r>
  <r>
    <n v="10094"/>
    <s v="Mason Hall"/>
    <x v="1"/>
    <n v="54"/>
    <x v="4"/>
    <x v="0"/>
    <x v="3"/>
    <x v="2"/>
    <s v="Robert King"/>
    <d v="2021-05-03T00:00:00"/>
    <x v="2"/>
    <x v="1"/>
    <n v="81767"/>
    <s v="C"/>
    <n v="4425"/>
    <s v="Health + Dental"/>
    <n v="16"/>
    <n v="1"/>
    <s v="None"/>
    <x v="0"/>
    <s v="Advanced Training"/>
  </r>
  <r>
    <n v="10095"/>
    <s v="Henry Moore"/>
    <x v="1"/>
    <n v="54"/>
    <x v="4"/>
    <x v="1"/>
    <x v="2"/>
    <x v="1"/>
    <s v="Michael Scott"/>
    <d v="2023-03-07T00:00:00"/>
    <x v="0"/>
    <x v="0"/>
    <n v="70567"/>
    <s v="D"/>
    <n v="3149"/>
    <s v="Health + Dental"/>
    <n v="15"/>
    <n v="4"/>
    <s v="None"/>
    <x v="2"/>
    <s v="Advanced Training"/>
  </r>
  <r>
    <n v="10096"/>
    <s v="James Lee"/>
    <x v="0"/>
    <n v="35"/>
    <x v="1"/>
    <x v="3"/>
    <x v="4"/>
    <x v="0"/>
    <s v="Robert King"/>
    <d v="2022-10-15T00:00:00"/>
    <x v="2"/>
    <x v="2"/>
    <n v="47791"/>
    <s v="B"/>
    <n v="6443"/>
    <s v="Health"/>
    <n v="8"/>
    <n v="5"/>
    <s v="Leadership Training"/>
    <x v="0"/>
    <s v="None"/>
  </r>
  <r>
    <n v="10097"/>
    <s v="Grace Walker"/>
    <x v="1"/>
    <n v="23"/>
    <x v="0"/>
    <x v="3"/>
    <x v="2"/>
    <x v="3"/>
    <s v="Michael Scott"/>
    <d v="2020-07-30T00:00:00"/>
    <x v="2"/>
    <x v="0"/>
    <n v="71619"/>
    <s v="A"/>
    <n v="2409"/>
    <s v="Health"/>
    <n v="20"/>
    <n v="4"/>
    <s v="None"/>
    <x v="2"/>
    <s v="None"/>
  </r>
  <r>
    <n v="10098"/>
    <s v="Grace Clark"/>
    <x v="1"/>
    <n v="37"/>
    <x v="2"/>
    <x v="2"/>
    <x v="3"/>
    <x v="0"/>
    <s v="Sarah Adams"/>
    <d v="2022-04-20T00:00:00"/>
    <x v="2"/>
    <x v="0"/>
    <n v="38234"/>
    <s v="A"/>
    <n v="3160"/>
    <s v="Health"/>
    <n v="10"/>
    <n v="2"/>
    <s v="None"/>
    <x v="2"/>
    <s v="None"/>
  </r>
  <r>
    <n v="10099"/>
    <s v="Ava Wilson"/>
    <x v="0"/>
    <n v="33"/>
    <x v="1"/>
    <x v="0"/>
    <x v="3"/>
    <x v="0"/>
    <s v="Robert King"/>
    <d v="2020-09-17T00:00:00"/>
    <x v="2"/>
    <x v="0"/>
    <n v="54528"/>
    <s v="D"/>
    <n v="5238"/>
    <s v="Health"/>
    <n v="9"/>
    <n v="3"/>
    <s v="None"/>
    <x v="1"/>
    <s v="None"/>
  </r>
  <r>
    <n v="10100"/>
    <s v="Isabella Smith"/>
    <x v="0"/>
    <n v="26"/>
    <x v="1"/>
    <x v="4"/>
    <x v="3"/>
    <x v="4"/>
    <s v="Michael Scott"/>
    <d v="2016-02-17T00:00:00"/>
    <x v="1"/>
    <x v="0"/>
    <n v="54125"/>
    <s v="D"/>
    <n v="9708"/>
    <s v="Health"/>
    <n v="0"/>
    <n v="1"/>
    <s v="Excel Workshop"/>
    <x v="0"/>
    <s v="Certified Profession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EA7F6A-0E08-480A-974C-B734748241A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3:B7" firstHeaderRow="1" firstDataRow="1" firstDataCol="1"/>
  <pivotFields count="21">
    <pivotField dataField="1" showAll="0"/>
    <pivotField showAll="0"/>
    <pivotField showAll="0">
      <items count="3">
        <item x="0"/>
        <item x="1"/>
        <item t="default"/>
      </items>
    </pivotField>
    <pivotField showAll="0"/>
    <pivotField showAll="0"/>
    <pivotField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Employee ID" fld="0" subtotal="count" baseField="0" baseItem="0"/>
  </dataFields>
  <formats count="2">
    <format dxfId="3">
      <pivotArea grandRow="1" outline="0" collapsedLevelsAreSubtotals="1" fieldPosition="0"/>
    </format>
    <format dxfId="2">
      <pivotArea dataOnly="0" labelOnly="1" grandRow="1" outline="0" fieldPosition="0"/>
    </format>
  </formats>
  <chartFormats count="4">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0" count="1" selected="0">
            <x v="0"/>
          </reference>
        </references>
      </pivotArea>
    </chartFormat>
    <chartFormat chart="6" format="13">
      <pivotArea type="data" outline="0" fieldPosition="0">
        <references count="2">
          <reference field="4294967294" count="1" selected="0">
            <x v="0"/>
          </reference>
          <reference field="10" count="1" selected="0">
            <x v="1"/>
          </reference>
        </references>
      </pivotArea>
    </chartFormat>
    <chartFormat chart="6" format="1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23A3DD-B0D7-4615-B545-5F66AF753D2A}"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O3:R10"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7">
    <format dxfId="10">
      <pivotArea dataOnly="0" labelOnly="1" grandCol="1" outline="0" fieldPosition="0"/>
    </format>
    <format dxfId="9">
      <pivotArea dataOnly="0" labelOnly="1" fieldPosition="0">
        <references count="1">
          <reference field="2" count="1">
            <x v="1"/>
          </reference>
        </references>
      </pivotArea>
    </format>
    <format dxfId="8">
      <pivotArea dataOnly="0" labelOnly="1" fieldPosition="0">
        <references count="1">
          <reference field="2" count="1">
            <x v="0"/>
          </reference>
        </references>
      </pivotArea>
    </format>
    <format dxfId="7">
      <pivotArea field="2" grandRow="1" outline="0" collapsedLevelsAreSubtotals="1" axis="axisCol" fieldPosition="0">
        <references count="1">
          <reference field="2" count="1" selected="0">
            <x v="0"/>
          </reference>
        </references>
      </pivotArea>
    </format>
    <format dxfId="6">
      <pivotArea dataOnly="0" labelOnly="1" grandRow="1" outline="0" fieldPosition="0"/>
    </format>
    <format dxfId="5">
      <pivotArea field="2" grandRow="1" outline="0" collapsedLevelsAreSubtotals="1" axis="axisCol" fieldPosition="0">
        <references count="1">
          <reference field="2" count="1" selected="0">
            <x v="1"/>
          </reference>
        </references>
      </pivotArea>
    </format>
    <format dxfId="4">
      <pivotArea grandRow="1" grandCol="1" outline="0" collapsedLevelsAreSubtotals="1" fieldPosition="0"/>
    </format>
  </formats>
  <chartFormats count="3">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57814C-B563-4203-B280-2904A8F63B6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G3:H9" firstHeaderRow="1" firstDataRow="1" firstDataCol="1"/>
  <pivotFields count="21">
    <pivotField dataField="1" showAll="0"/>
    <pivotField showAll="0"/>
    <pivotField showAll="0">
      <items count="3">
        <item x="0"/>
        <item x="1"/>
        <item t="default"/>
      </items>
    </pivotField>
    <pivotField showAll="0"/>
    <pivotField showAll="0"/>
    <pivotField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Employee ID" fld="0" subtotal="count" baseField="0" baseItem="0"/>
  </dataFields>
  <formats count="7">
    <format dxfId="17">
      <pivotArea dataOnly="0" labelOnly="1" grandRow="1" outline="0" fieldPosition="0"/>
    </format>
    <format dxfId="16">
      <pivotArea grandRow="1" outline="0" collapsedLevelsAreSubtotals="1" fieldPosition="0"/>
    </format>
    <format dxfId="15">
      <pivotArea collapsedLevelsAreSubtotals="1" fieldPosition="0">
        <references count="1">
          <reference field="19" count="1">
            <x v="0"/>
          </reference>
        </references>
      </pivotArea>
    </format>
    <format dxfId="14">
      <pivotArea collapsedLevelsAreSubtotals="1" fieldPosition="0">
        <references count="1">
          <reference field="19" count="1">
            <x v="1"/>
          </reference>
        </references>
      </pivotArea>
    </format>
    <format dxfId="13">
      <pivotArea collapsedLevelsAreSubtotals="1" fieldPosition="0">
        <references count="1">
          <reference field="19" count="1">
            <x v="2"/>
          </reference>
        </references>
      </pivotArea>
    </format>
    <format dxfId="12">
      <pivotArea collapsedLevelsAreSubtotals="1" fieldPosition="0">
        <references count="1">
          <reference field="19" count="1">
            <x v="3"/>
          </reference>
        </references>
      </pivotArea>
    </format>
    <format dxfId="11">
      <pivotArea collapsedLevelsAreSubtotals="1" fieldPosition="0">
        <references count="1">
          <reference field="19" count="1">
            <x v="4"/>
          </reference>
        </references>
      </pivotArea>
    </format>
  </formats>
  <chartFormats count="1">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99F00A-3FB4-4D07-8CD5-AE9264900A24}"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Row Lables">
  <location ref="Y3:Z9"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7">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5" count="1" selected="0">
            <x v="0"/>
          </reference>
        </references>
      </pivotArea>
    </chartFormat>
    <chartFormat chart="10" format="4">
      <pivotArea type="data" outline="0" fieldPosition="0">
        <references count="2">
          <reference field="4294967294" count="1" selected="0">
            <x v="0"/>
          </reference>
          <reference field="5" count="1" selected="0">
            <x v="1"/>
          </reference>
        </references>
      </pivotArea>
    </chartFormat>
    <chartFormat chart="10" format="5">
      <pivotArea type="data" outline="0" fieldPosition="0">
        <references count="2">
          <reference field="4294967294" count="1" selected="0">
            <x v="0"/>
          </reference>
          <reference field="5" count="1" selected="0">
            <x v="2"/>
          </reference>
        </references>
      </pivotArea>
    </chartFormat>
    <chartFormat chart="10" format="6">
      <pivotArea type="data" outline="0" fieldPosition="0">
        <references count="2">
          <reference field="4294967294" count="1" selected="0">
            <x v="0"/>
          </reference>
          <reference field="5" count="1" selected="0">
            <x v="3"/>
          </reference>
        </references>
      </pivotArea>
    </chartFormat>
    <chartFormat chart="10" format="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082976-8F12-4371-BC14-33C0A48C4518}"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T3:V9" firstHeaderRow="0" firstDataRow="1" firstDataCol="1"/>
  <pivotFields count="21">
    <pivotField showAll="0"/>
    <pivotField showAll="0"/>
    <pivotField showAll="0">
      <items count="3">
        <item x="0"/>
        <item x="1"/>
        <item t="default"/>
      </items>
    </pivotField>
    <pivotField showAll="0"/>
    <pivotField showAll="0"/>
    <pivotField showAll="0">
      <items count="6">
        <item x="1"/>
        <item x="0"/>
        <item x="4"/>
        <item x="3"/>
        <item x="2"/>
        <item t="default"/>
      </items>
    </pivotField>
    <pivotField axis="axisRow" showAll="0">
      <items count="6">
        <item x="4"/>
        <item x="1"/>
        <item x="3"/>
        <item x="2"/>
        <item x="0"/>
        <item t="default"/>
      </items>
    </pivotField>
    <pivotField showAll="0">
      <items count="6">
        <item x="0"/>
        <item x="1"/>
        <item x="4"/>
        <item x="2"/>
        <item x="3"/>
        <item t="default"/>
      </items>
    </pivotField>
    <pivotField showAll="0"/>
    <pivotField numFmtId="14"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2">
    <format dxfId="19">
      <pivotArea collapsedLevelsAreSubtotals="1" fieldPosition="0">
        <references count="2">
          <reference field="4294967294" count="1" selected="0">
            <x v="0"/>
          </reference>
          <reference field="6" count="0"/>
        </references>
      </pivotArea>
    </format>
    <format dxfId="18">
      <pivotArea field="6"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2400EB-EF59-439E-9BC9-28D5AE0E0969}"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3:L7" firstHeaderRow="1" firstDataRow="1" firstDataCol="1"/>
  <pivotFields count="21">
    <pivotField dataField="1" showAll="0"/>
    <pivotField showAll="0"/>
    <pivotField showAll="0">
      <items count="3">
        <item x="0"/>
        <item x="1"/>
        <item t="default"/>
      </items>
    </pivotField>
    <pivotField showAll="0"/>
    <pivotField showAll="0"/>
    <pivotField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Employee ID" fld="0" subtotal="count" baseField="11" baseItem="0"/>
  </dataFields>
  <formats count="3">
    <format dxfId="22">
      <pivotArea grandRow="1" outline="0" collapsedLevelsAreSubtotals="1" fieldPosition="0"/>
    </format>
    <format dxfId="21">
      <pivotArea dataOnly="0" grandRow="1"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56715E8-5CBA-433D-A304-680CABC75121}" sourceName="Gender">
  <pivotTables>
    <pivotTable tabId="2" name="PivotTable1"/>
    <pivotTable tabId="2" name="PivotTable10"/>
    <pivotTable tabId="2" name="PivotTable12"/>
    <pivotTable tabId="2" name="PivotTable14"/>
    <pivotTable tabId="2" name="PivotTable15"/>
    <pivotTable tabId="2" name="PivotTable8"/>
  </pivotTables>
  <data>
    <tabular pivotCacheId="8601320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7F72D9-20D0-4022-8E96-E4AC32414B7A}" sourceName="Region">
  <pivotTables>
    <pivotTable tabId="2" name="PivotTable1"/>
    <pivotTable tabId="2" name="PivotTable10"/>
    <pivotTable tabId="2" name="PivotTable12"/>
    <pivotTable tabId="2" name="PivotTable14"/>
    <pivotTable tabId="2" name="PivotTable15"/>
    <pivotTable tabId="2" name="PivotTable8"/>
  </pivotTables>
  <data>
    <tabular pivotCacheId="860132084">
      <items count="5">
        <i x="1" s="1"/>
        <i x="0"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CAD55D7-DCFE-4F4D-9E5D-630A680D8E79}" sourceName="Department">
  <pivotTables>
    <pivotTable tabId="2" name="PivotTable1"/>
    <pivotTable tabId="2" name="PivotTable10"/>
    <pivotTable tabId="2" name="PivotTable12"/>
    <pivotTable tabId="2" name="PivotTable14"/>
    <pivotTable tabId="2" name="PivotTable15"/>
    <pivotTable tabId="2" name="PivotTable8"/>
  </pivotTables>
  <data>
    <tabular pivotCacheId="860132084">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3C94E7A-DC86-4F84-BCC8-30C433D4A738}" cache="Slicer_Gender" caption="Gender" columnCount="2" showCaption="0" style="SlicerStyleDark2" rowHeight="216000"/>
  <slicer name="Region" xr10:uid="{CB496BA9-9665-4DE5-905A-F5C1582FF20E}" cache="Slicer_Region" caption="Region" columnCount="5" showCaption="0" style="SlicerStyleDark2" rowHeight="216000"/>
  <slicer name="Department" xr10:uid="{591D07EB-3B94-45AE-A0CF-7AB6EA5C3795}" cache="Slicer_Department" caption="Department" columnCount="5" showCaption="0" style="SlicerStyleDark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60C0E-BB08-4C0A-AA88-877BCA26C99F}" name="Table1" displayName="Table1" ref="A1:U102" totalsRowCount="1">
  <autoFilter ref="A1:U101" xr:uid="{06E60C0E-BB08-4C0A-AA88-877BCA26C99F}"/>
  <tableColumns count="21">
    <tableColumn id="1" xr3:uid="{C364CEE7-5548-49D3-ACA0-069CEFBE77CB}" name="Employee ID"/>
    <tableColumn id="2" xr3:uid="{08564D88-1B99-4857-8B4E-A917B7AEE135}" name="Full Name"/>
    <tableColumn id="3" xr3:uid="{315B24B3-E7EB-45FE-A91D-7A22E317B3F3}" name="Gender"/>
    <tableColumn id="4" xr3:uid="{CA283B64-78AF-4660-806D-6520263A747C}" name="Age"/>
    <tableColumn id="5" xr3:uid="{43843D33-5C99-4834-9326-915EF94AAD67}" name="Age range"/>
    <tableColumn id="6" xr3:uid="{36B7E8BC-EBDE-4F47-9413-338198292BF0}" name="Region"/>
    <tableColumn id="7" xr3:uid="{E85414B4-5D7C-494F-AB26-3D2CBCFF21CB}" name="Job Title"/>
    <tableColumn id="8" xr3:uid="{8A296DAE-36C1-49F1-BCC6-471BAC9ADECC}" name="Department"/>
    <tableColumn id="9" xr3:uid="{42C8428C-0D4B-43AF-AD4A-F5D524025E66}" name="Manager/Supervisor"/>
    <tableColumn id="10" xr3:uid="{C6E7ED60-C052-4185-9E7E-67B227121401}" name="Date of Hire" dataDxfId="1" totalsRowDxfId="0"/>
    <tableColumn id="11" xr3:uid="{839F2EA3-2E7D-4668-8686-5F672740ED86}" name="Employment Status"/>
    <tableColumn id="12" xr3:uid="{19E3ED72-EA23-430B-964C-D0D907407F75}" name="Work Location"/>
    <tableColumn id="13" xr3:uid="{A7C89545-DF1E-4D7F-9035-D1B8B5C4A642}" name="Salary"/>
    <tableColumn id="14" xr3:uid="{51D7BDE8-D2F8-4397-A1B9-86B479832C14}" name="Pay Grade"/>
    <tableColumn id="15" xr3:uid="{4CF6B86E-C91D-451F-9BCB-3B75B506CB1E}" name="Bonus/Allowances"/>
    <tableColumn id="16" xr3:uid="{EE8171AF-3D22-4B4B-9056-157F479EBA82}" name="Insurance Details"/>
    <tableColumn id="17" xr3:uid="{E5A06183-B830-4023-95D5-2F6F7C62B04A}" name="Leave Taken"/>
    <tableColumn id="18" xr3:uid="{4242FA75-7F1A-4FE8-A14C-9E09CE00FD19}" name="Performance Rating"/>
    <tableColumn id="19" xr3:uid="{11C68926-475F-471B-996C-E93B16508931}" name="Training Programs Attended"/>
    <tableColumn id="20" xr3:uid="{60E725E4-2B03-46A3-AD69-E412263A5072}" name="Skills"/>
    <tableColumn id="21" xr3:uid="{86226805-0A74-4120-9B6E-7C8DD1E2CEA8}" name="Certifica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9823-23EF-4D4C-892B-F57C6776C294}">
  <sheetPr codeName="Sheet1"/>
  <dimension ref="A1:AB16"/>
  <sheetViews>
    <sheetView zoomScale="76" zoomScaleNormal="81" workbookViewId="0">
      <selection activeCell="P27" sqref="P27"/>
    </sheetView>
  </sheetViews>
  <sheetFormatPr defaultRowHeight="14.4" x14ac:dyDescent="0.3"/>
  <cols>
    <col min="1" max="1" width="10" customWidth="1"/>
    <col min="2" max="2" width="19" customWidth="1"/>
    <col min="3" max="3" width="2.33203125" customWidth="1"/>
    <col min="4" max="4" width="20.6640625" customWidth="1"/>
    <col min="5" max="5" width="11" customWidth="1"/>
    <col min="6" max="6" width="2.5546875" customWidth="1"/>
    <col min="7" max="7" width="14.33203125" customWidth="1"/>
    <col min="8" max="8" width="19.109375" customWidth="1"/>
    <col min="9" max="9" width="2.109375" customWidth="1"/>
    <col min="10" max="10" width="0.5546875" hidden="1" customWidth="1"/>
    <col min="11" max="11" width="11.6640625" customWidth="1"/>
    <col min="12" max="12" width="9.77734375" customWidth="1"/>
    <col min="14" max="14" width="2.21875" customWidth="1"/>
    <col min="18" max="18" width="11.88671875" customWidth="1"/>
    <col min="19" max="19" width="2.6640625" customWidth="1"/>
    <col min="20" max="20" width="11.33203125" customWidth="1"/>
    <col min="21" max="21" width="15" customWidth="1"/>
    <col min="22" max="22" width="14.88671875" customWidth="1"/>
    <col min="23" max="23" width="3.109375" customWidth="1"/>
    <col min="24" max="24" width="2.77734375" hidden="1" customWidth="1"/>
    <col min="25" max="25" width="10.44140625" customWidth="1"/>
    <col min="26" max="26" width="15.77734375" customWidth="1"/>
  </cols>
  <sheetData>
    <row r="1" spans="1:28" x14ac:dyDescent="0.3">
      <c r="A1" s="24" t="s">
        <v>10</v>
      </c>
      <c r="B1" s="24"/>
      <c r="C1" s="12"/>
      <c r="D1" s="24" t="s">
        <v>233</v>
      </c>
      <c r="E1" s="24"/>
      <c r="G1" s="24" t="s">
        <v>221</v>
      </c>
      <c r="H1" s="24"/>
      <c r="I1" s="12"/>
      <c r="K1" s="24" t="s">
        <v>222</v>
      </c>
      <c r="L1" s="24"/>
      <c r="M1" s="24"/>
      <c r="O1" s="24" t="s">
        <v>232</v>
      </c>
      <c r="P1" s="24"/>
      <c r="Q1" s="24"/>
      <c r="R1" s="24"/>
      <c r="T1" s="24" t="s">
        <v>225</v>
      </c>
      <c r="U1" s="24"/>
      <c r="V1" s="24"/>
      <c r="W1" s="12"/>
      <c r="Y1" s="25" t="s">
        <v>231</v>
      </c>
      <c r="Z1" s="25"/>
      <c r="AA1" s="12"/>
      <c r="AB1" s="12"/>
    </row>
    <row r="3" spans="1:28" x14ac:dyDescent="0.3">
      <c r="A3" s="2" t="s">
        <v>212</v>
      </c>
      <c r="B3" t="s">
        <v>229</v>
      </c>
      <c r="D3" s="13" t="s">
        <v>214</v>
      </c>
      <c r="E3" s="14" t="s">
        <v>215</v>
      </c>
      <c r="G3" s="2" t="s">
        <v>212</v>
      </c>
      <c r="H3" t="s">
        <v>229</v>
      </c>
      <c r="K3" s="2" t="s">
        <v>212</v>
      </c>
      <c r="L3" s="11" t="s">
        <v>229</v>
      </c>
      <c r="M3" s="11"/>
      <c r="O3" s="2" t="s">
        <v>211</v>
      </c>
      <c r="P3" s="2" t="s">
        <v>224</v>
      </c>
      <c r="T3" s="2" t="s">
        <v>212</v>
      </c>
      <c r="U3" t="s">
        <v>226</v>
      </c>
      <c r="V3" t="s">
        <v>227</v>
      </c>
      <c r="Y3" s="2" t="s">
        <v>228</v>
      </c>
      <c r="Z3" t="s">
        <v>211</v>
      </c>
    </row>
    <row r="4" spans="1:28" x14ac:dyDescent="0.3">
      <c r="A4" s="3" t="s">
        <v>59</v>
      </c>
      <c r="B4">
        <v>31</v>
      </c>
      <c r="D4" s="4" t="s">
        <v>216</v>
      </c>
      <c r="E4" s="5">
        <f>COUNTA('HR Dataset'!A2:A1000)</f>
        <v>100</v>
      </c>
      <c r="G4" s="3" t="s">
        <v>69</v>
      </c>
      <c r="H4">
        <v>19</v>
      </c>
      <c r="K4" s="3" t="s">
        <v>42</v>
      </c>
      <c r="L4">
        <v>38</v>
      </c>
      <c r="O4" s="2" t="s">
        <v>212</v>
      </c>
      <c r="P4" s="5" t="s">
        <v>22</v>
      </c>
      <c r="Q4" s="5" t="s">
        <v>36</v>
      </c>
      <c r="R4" s="5" t="s">
        <v>213</v>
      </c>
      <c r="T4" s="3" t="s">
        <v>102</v>
      </c>
      <c r="U4" s="8">
        <v>991270</v>
      </c>
      <c r="V4">
        <v>207</v>
      </c>
      <c r="Y4" s="3" t="s">
        <v>38</v>
      </c>
      <c r="Z4">
        <v>26</v>
      </c>
    </row>
    <row r="5" spans="1:28" x14ac:dyDescent="0.3">
      <c r="A5" s="3" t="s">
        <v>28</v>
      </c>
      <c r="B5">
        <v>41</v>
      </c>
      <c r="D5" s="4" t="s">
        <v>217</v>
      </c>
      <c r="E5" s="5">
        <f>AVERAGE('HR Dataset'!R2:R101)</f>
        <v>2.9</v>
      </c>
      <c r="G5" s="3" t="s">
        <v>33</v>
      </c>
      <c r="H5">
        <v>25</v>
      </c>
      <c r="K5" s="3" t="s">
        <v>29</v>
      </c>
      <c r="L5">
        <v>30</v>
      </c>
      <c r="O5" s="3" t="s">
        <v>23</v>
      </c>
      <c r="P5">
        <v>8</v>
      </c>
      <c r="Q5">
        <v>7</v>
      </c>
      <c r="R5">
        <v>15</v>
      </c>
      <c r="T5" s="3" t="s">
        <v>39</v>
      </c>
      <c r="U5" s="8">
        <v>1141425</v>
      </c>
      <c r="V5">
        <v>159</v>
      </c>
      <c r="Y5" s="3" t="s">
        <v>24</v>
      </c>
      <c r="Z5">
        <v>19</v>
      </c>
    </row>
    <row r="6" spans="1:28" x14ac:dyDescent="0.3">
      <c r="A6" s="3" t="s">
        <v>95</v>
      </c>
      <c r="B6">
        <v>28</v>
      </c>
      <c r="D6" s="4" t="s">
        <v>218</v>
      </c>
      <c r="E6" s="5">
        <f>COUNTIF('HR Dataset'!K:K,"Part-Time")</f>
        <v>28</v>
      </c>
      <c r="G6" s="3" t="s">
        <v>84</v>
      </c>
      <c r="H6">
        <v>15</v>
      </c>
      <c r="K6" s="3" t="s">
        <v>51</v>
      </c>
      <c r="L6">
        <v>32</v>
      </c>
      <c r="O6" s="3" t="s">
        <v>37</v>
      </c>
      <c r="P6">
        <v>14</v>
      </c>
      <c r="Q6">
        <v>11</v>
      </c>
      <c r="R6">
        <v>25</v>
      </c>
      <c r="T6" s="3" t="s">
        <v>67</v>
      </c>
      <c r="U6" s="8">
        <v>1258879</v>
      </c>
      <c r="V6">
        <v>212</v>
      </c>
      <c r="Y6" s="3" t="s">
        <v>89</v>
      </c>
      <c r="Z6">
        <v>17</v>
      </c>
    </row>
    <row r="7" spans="1:28" x14ac:dyDescent="0.3">
      <c r="A7" s="4" t="s">
        <v>213</v>
      </c>
      <c r="B7" s="5">
        <v>100</v>
      </c>
      <c r="D7" s="4" t="s">
        <v>219</v>
      </c>
      <c r="E7" s="5">
        <f>COUNTIF('HR Dataset'!K:K,"Full-Time")</f>
        <v>41</v>
      </c>
      <c r="G7" s="3" t="s">
        <v>53</v>
      </c>
      <c r="H7">
        <v>19</v>
      </c>
      <c r="K7" s="4" t="s">
        <v>213</v>
      </c>
      <c r="L7" s="5">
        <v>100</v>
      </c>
      <c r="O7" s="3" t="s">
        <v>56</v>
      </c>
      <c r="P7">
        <v>11</v>
      </c>
      <c r="Q7">
        <v>15</v>
      </c>
      <c r="R7">
        <v>26</v>
      </c>
      <c r="T7" s="3" t="s">
        <v>48</v>
      </c>
      <c r="U7" s="8">
        <v>1573579</v>
      </c>
      <c r="V7">
        <v>234</v>
      </c>
      <c r="Y7" s="3" t="s">
        <v>73</v>
      </c>
      <c r="Z7">
        <v>24</v>
      </c>
    </row>
    <row r="8" spans="1:28" x14ac:dyDescent="0.3">
      <c r="D8" s="4" t="s">
        <v>220</v>
      </c>
      <c r="E8" s="5">
        <f>COUNTIF('HR Dataset'!K:K,"Contract")</f>
        <v>31</v>
      </c>
      <c r="G8" s="3" t="s">
        <v>62</v>
      </c>
      <c r="H8">
        <v>22</v>
      </c>
      <c r="K8" s="21" t="s">
        <v>234</v>
      </c>
      <c r="L8" s="22"/>
      <c r="M8" s="23"/>
      <c r="O8" s="3" t="s">
        <v>86</v>
      </c>
      <c r="P8">
        <v>8</v>
      </c>
      <c r="Q8">
        <v>11</v>
      </c>
      <c r="R8">
        <v>19</v>
      </c>
      <c r="T8" s="3" t="s">
        <v>25</v>
      </c>
      <c r="U8" s="8">
        <v>1369188</v>
      </c>
      <c r="V8">
        <v>238</v>
      </c>
      <c r="Y8" s="3" t="s">
        <v>47</v>
      </c>
      <c r="Z8">
        <v>14</v>
      </c>
    </row>
    <row r="9" spans="1:28" x14ac:dyDescent="0.3">
      <c r="G9" s="4" t="s">
        <v>213</v>
      </c>
      <c r="H9" s="20">
        <v>100</v>
      </c>
      <c r="K9" s="3" t="s">
        <v>42</v>
      </c>
      <c r="L9">
        <f>COUNTIF('HR Dataset'!L:L,"Branch Office")</f>
        <v>38</v>
      </c>
      <c r="M9">
        <f>L9/SUM($L$9:$L$11)</f>
        <v>0.38</v>
      </c>
      <c r="O9" s="3" t="s">
        <v>64</v>
      </c>
      <c r="P9">
        <v>8</v>
      </c>
      <c r="Q9">
        <v>7</v>
      </c>
      <c r="R9">
        <v>15</v>
      </c>
      <c r="T9" s="3" t="s">
        <v>213</v>
      </c>
      <c r="U9" s="8">
        <v>6334341</v>
      </c>
      <c r="V9">
        <v>1050</v>
      </c>
      <c r="Y9" s="3" t="s">
        <v>213</v>
      </c>
      <c r="Z9">
        <v>100</v>
      </c>
    </row>
    <row r="10" spans="1:28" x14ac:dyDescent="0.3">
      <c r="D10" s="10"/>
      <c r="K10" s="3" t="s">
        <v>29</v>
      </c>
      <c r="L10">
        <f>COUNTIF('HR Dataset'!L:L,"Head Office")</f>
        <v>30</v>
      </c>
      <c r="M10">
        <f>L10/SUM($L$9:$L$11)</f>
        <v>0.3</v>
      </c>
      <c r="O10" s="4" t="s">
        <v>213</v>
      </c>
      <c r="P10" s="5">
        <v>49</v>
      </c>
      <c r="Q10" s="5">
        <v>51</v>
      </c>
      <c r="R10" s="5">
        <v>100</v>
      </c>
    </row>
    <row r="11" spans="1:28" x14ac:dyDescent="0.3">
      <c r="K11" s="3" t="s">
        <v>51</v>
      </c>
      <c r="L11">
        <f>COUNTIF('HR Dataset'!L:L,"Remote")</f>
        <v>32</v>
      </c>
      <c r="M11">
        <f>L11/SUM($L$9:$L$11)</f>
        <v>0.32</v>
      </c>
      <c r="T11" s="3" t="s">
        <v>102</v>
      </c>
      <c r="U11" s="8">
        <f>SUMIF('HR Dataset'!G:G,"Analyst",'HR Dataset'!M:M)</f>
        <v>991270</v>
      </c>
      <c r="V11">
        <f>SUMIF('HR Dataset'!G:G,"Analyst",'HR Dataset'!Q:Q)</f>
        <v>207</v>
      </c>
    </row>
    <row r="12" spans="1:28" x14ac:dyDescent="0.3">
      <c r="K12" s="19" t="s">
        <v>223</v>
      </c>
      <c r="L12" s="18">
        <f>SUM(L9:L11)</f>
        <v>100</v>
      </c>
      <c r="T12" s="3" t="s">
        <v>39</v>
      </c>
      <c r="U12" s="8">
        <f t="shared" ref="U12:U15" si="0">GETPIVOTDATA("Sum of Salary",$T$3,"Job Title",T12)</f>
        <v>1141425</v>
      </c>
      <c r="V12">
        <f t="shared" ref="V12:V15" si="1">GETPIVOTDATA("Sum of Leave Taken",$T$3,"Job Title",T12)</f>
        <v>159</v>
      </c>
    </row>
    <row r="13" spans="1:28" x14ac:dyDescent="0.3">
      <c r="K13" s="21" t="s">
        <v>235</v>
      </c>
      <c r="L13" s="22"/>
      <c r="M13" s="23"/>
      <c r="O13" s="17" t="s">
        <v>2</v>
      </c>
      <c r="P13" s="16" t="s">
        <v>223</v>
      </c>
      <c r="Q13" s="15" t="s">
        <v>236</v>
      </c>
      <c r="R13" s="15" t="s">
        <v>237</v>
      </c>
      <c r="T13" s="3" t="s">
        <v>67</v>
      </c>
      <c r="U13" s="8">
        <f>SUMIF('HR Dataset'!G:G,"Developer",'HR Dataset'!M:M)</f>
        <v>1258879</v>
      </c>
      <c r="V13">
        <f>SUMIF('HR Dataset'!G:G,"Developer",'HR Dataset'!Q:Q)</f>
        <v>212</v>
      </c>
    </row>
    <row r="14" spans="1:28" x14ac:dyDescent="0.3">
      <c r="K14" s="4" t="s">
        <v>42</v>
      </c>
      <c r="L14" s="6">
        <f>SUM(L9/SUM($L$9:$L$11))</f>
        <v>0.38</v>
      </c>
      <c r="M14" s="7">
        <f>1-L14</f>
        <v>0.62</v>
      </c>
      <c r="O14" s="5" t="s">
        <v>36</v>
      </c>
      <c r="P14" s="5">
        <f>GETPIVOTDATA("Full Name",$O$3,"Gender","Male")</f>
        <v>51</v>
      </c>
      <c r="Q14" s="6">
        <f>SUM(P14/SUM($P$14:$P$15))</f>
        <v>0.51</v>
      </c>
      <c r="R14" s="7">
        <f>1-Q14</f>
        <v>0.49</v>
      </c>
      <c r="T14" s="3" t="s">
        <v>48</v>
      </c>
      <c r="U14" s="8">
        <f>SUMIF('HR Dataset'!G:G,"HR Specialist",'HR Dataset'!M:M)</f>
        <v>1573579</v>
      </c>
      <c r="V14">
        <f>SUMIF('HR Dataset'!G:G,"HR Specialist",'HR Dataset'!Q:Q)</f>
        <v>234</v>
      </c>
    </row>
    <row r="15" spans="1:28" x14ac:dyDescent="0.3">
      <c r="K15" s="4" t="s">
        <v>29</v>
      </c>
      <c r="L15" s="6">
        <f>SUM(L10/SUM($L$9:$L$11))</f>
        <v>0.3</v>
      </c>
      <c r="M15" s="7">
        <f t="shared" ref="M15:M16" si="2">1-L15</f>
        <v>0.7</v>
      </c>
      <c r="O15" s="5" t="s">
        <v>22</v>
      </c>
      <c r="P15" s="5">
        <f>GETPIVOTDATA("Full Name",$O$3,"Gender","Female")</f>
        <v>49</v>
      </c>
      <c r="Q15" s="6">
        <f>SUM(P15/SUM($P$14:$P$15))</f>
        <v>0.49</v>
      </c>
      <c r="R15" s="7">
        <f>1-Q15</f>
        <v>0.51</v>
      </c>
      <c r="T15" s="3" t="s">
        <v>25</v>
      </c>
      <c r="U15" s="8">
        <f t="shared" si="0"/>
        <v>1369188</v>
      </c>
      <c r="V15">
        <f t="shared" si="1"/>
        <v>238</v>
      </c>
    </row>
    <row r="16" spans="1:28" x14ac:dyDescent="0.3">
      <c r="K16" s="4" t="s">
        <v>51</v>
      </c>
      <c r="L16" s="6">
        <f>SUM(L11/SUM($L$9:$L$11))</f>
        <v>0.32</v>
      </c>
      <c r="M16" s="7">
        <f t="shared" si="2"/>
        <v>0.67999999999999994</v>
      </c>
    </row>
  </sheetData>
  <mergeCells count="9">
    <mergeCell ref="T1:V1"/>
    <mergeCell ref="K1:M1"/>
    <mergeCell ref="O1:R1"/>
    <mergeCell ref="Y1:Z1"/>
    <mergeCell ref="K8:M8"/>
    <mergeCell ref="K13:M13"/>
    <mergeCell ref="G1:H1"/>
    <mergeCell ref="D1:E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F4AFD-FF3B-4165-ACAC-0E923FDF9479}">
  <sheetPr codeName="Sheet2"/>
  <dimension ref="A1:AA102"/>
  <sheetViews>
    <sheetView zoomScale="66" workbookViewId="0">
      <selection activeCell="T2" sqref="T2"/>
    </sheetView>
  </sheetViews>
  <sheetFormatPr defaultRowHeight="14.4" x14ac:dyDescent="0.3"/>
  <cols>
    <col min="1" max="1" width="13.21875" customWidth="1"/>
    <col min="2" max="2" width="11.33203125" customWidth="1"/>
    <col min="3" max="3" width="9" customWidth="1"/>
    <col min="5" max="5" width="10.77734375" customWidth="1"/>
    <col min="7" max="7" width="9.6640625" customWidth="1"/>
    <col min="8" max="8" width="12.88671875" customWidth="1"/>
    <col min="9" max="9" width="19.44140625" customWidth="1"/>
    <col min="10" max="10" width="12.5546875" customWidth="1"/>
    <col min="11" max="11" width="19.109375" customWidth="1"/>
    <col min="12" max="12" width="14.6640625" customWidth="1"/>
    <col min="14" max="14" width="11.33203125" customWidth="1"/>
    <col min="15" max="15" width="18" customWidth="1"/>
    <col min="16" max="16" width="17.21875" customWidth="1"/>
    <col min="17" max="17" width="12.88671875" customWidth="1"/>
    <col min="18" max="18" width="19.109375" customWidth="1"/>
    <col min="19" max="19" width="25.6640625" customWidth="1"/>
    <col min="21" max="21" width="14.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10001</v>
      </c>
      <c r="B2" t="s">
        <v>21</v>
      </c>
      <c r="C2" t="s">
        <v>22</v>
      </c>
      <c r="D2">
        <v>25</v>
      </c>
      <c r="E2" t="s">
        <v>23</v>
      </c>
      <c r="F2" t="s">
        <v>24</v>
      </c>
      <c r="G2" t="s">
        <v>25</v>
      </c>
      <c r="H2" t="s">
        <v>26</v>
      </c>
      <c r="I2" t="s">
        <v>27</v>
      </c>
      <c r="J2" s="1">
        <v>43539</v>
      </c>
      <c r="K2" t="s">
        <v>28</v>
      </c>
      <c r="L2" t="s">
        <v>29</v>
      </c>
      <c r="M2">
        <v>53700</v>
      </c>
      <c r="N2" t="s">
        <v>30</v>
      </c>
      <c r="O2">
        <v>1463</v>
      </c>
      <c r="P2" t="s">
        <v>31</v>
      </c>
      <c r="Q2">
        <v>1</v>
      </c>
      <c r="R2">
        <v>1</v>
      </c>
      <c r="S2" t="s">
        <v>32</v>
      </c>
      <c r="T2" t="s">
        <v>33</v>
      </c>
      <c r="U2" t="s">
        <v>34</v>
      </c>
    </row>
    <row r="3" spans="1:21" x14ac:dyDescent="0.3">
      <c r="A3">
        <v>10002</v>
      </c>
      <c r="B3" t="s">
        <v>35</v>
      </c>
      <c r="C3" t="s">
        <v>36</v>
      </c>
      <c r="D3">
        <v>27</v>
      </c>
      <c r="E3" t="s">
        <v>37</v>
      </c>
      <c r="F3" t="s">
        <v>38</v>
      </c>
      <c r="G3" t="s">
        <v>39</v>
      </c>
      <c r="H3" t="s">
        <v>40</v>
      </c>
      <c r="I3" t="s">
        <v>41</v>
      </c>
      <c r="J3" s="1">
        <v>44915</v>
      </c>
      <c r="K3" t="s">
        <v>28</v>
      </c>
      <c r="L3" t="s">
        <v>42</v>
      </c>
      <c r="M3">
        <v>91091</v>
      </c>
      <c r="N3" t="s">
        <v>43</v>
      </c>
      <c r="O3">
        <v>1024</v>
      </c>
      <c r="P3" t="s">
        <v>44</v>
      </c>
      <c r="Q3">
        <v>19</v>
      </c>
      <c r="R3">
        <v>4</v>
      </c>
      <c r="S3" t="s">
        <v>45</v>
      </c>
      <c r="T3" t="s">
        <v>33</v>
      </c>
      <c r="U3" t="s">
        <v>34</v>
      </c>
    </row>
    <row r="4" spans="1:21" x14ac:dyDescent="0.3">
      <c r="A4">
        <v>10003</v>
      </c>
      <c r="B4" t="s">
        <v>46</v>
      </c>
      <c r="C4" t="s">
        <v>36</v>
      </c>
      <c r="D4">
        <v>34</v>
      </c>
      <c r="E4" t="s">
        <v>37</v>
      </c>
      <c r="F4" t="s">
        <v>47</v>
      </c>
      <c r="G4" t="s">
        <v>48</v>
      </c>
      <c r="H4" t="s">
        <v>49</v>
      </c>
      <c r="I4" t="s">
        <v>50</v>
      </c>
      <c r="J4" s="1">
        <v>44783</v>
      </c>
      <c r="K4" t="s">
        <v>28</v>
      </c>
      <c r="L4" t="s">
        <v>51</v>
      </c>
      <c r="M4">
        <v>57538</v>
      </c>
      <c r="N4" t="s">
        <v>52</v>
      </c>
      <c r="O4">
        <v>1674</v>
      </c>
      <c r="P4" t="s">
        <v>44</v>
      </c>
      <c r="Q4">
        <v>8</v>
      </c>
      <c r="R4">
        <v>1</v>
      </c>
      <c r="S4" t="s">
        <v>44</v>
      </c>
      <c r="T4" t="s">
        <v>53</v>
      </c>
      <c r="U4" t="s">
        <v>54</v>
      </c>
    </row>
    <row r="5" spans="1:21" x14ac:dyDescent="0.3">
      <c r="A5">
        <v>10004</v>
      </c>
      <c r="B5" t="s">
        <v>55</v>
      </c>
      <c r="C5" t="s">
        <v>22</v>
      </c>
      <c r="D5">
        <v>41</v>
      </c>
      <c r="E5" t="s">
        <v>56</v>
      </c>
      <c r="F5" t="s">
        <v>47</v>
      </c>
      <c r="G5" t="s">
        <v>25</v>
      </c>
      <c r="H5" t="s">
        <v>57</v>
      </c>
      <c r="I5" t="s">
        <v>58</v>
      </c>
      <c r="J5" s="1">
        <v>45538</v>
      </c>
      <c r="K5" t="s">
        <v>59</v>
      </c>
      <c r="L5" t="s">
        <v>29</v>
      </c>
      <c r="M5">
        <v>62993</v>
      </c>
      <c r="N5" t="s">
        <v>60</v>
      </c>
      <c r="O5">
        <v>2695</v>
      </c>
      <c r="P5" t="s">
        <v>61</v>
      </c>
      <c r="Q5">
        <v>0</v>
      </c>
      <c r="R5">
        <v>2</v>
      </c>
      <c r="S5" t="s">
        <v>44</v>
      </c>
      <c r="T5" t="s">
        <v>62</v>
      </c>
      <c r="U5" t="s">
        <v>44</v>
      </c>
    </row>
    <row r="6" spans="1:21" x14ac:dyDescent="0.3">
      <c r="A6">
        <v>10005</v>
      </c>
      <c r="B6" t="s">
        <v>63</v>
      </c>
      <c r="C6" t="s">
        <v>36</v>
      </c>
      <c r="D6">
        <v>56</v>
      </c>
      <c r="E6" t="s">
        <v>64</v>
      </c>
      <c r="F6" t="s">
        <v>24</v>
      </c>
      <c r="G6" t="s">
        <v>25</v>
      </c>
      <c r="H6" t="s">
        <v>49</v>
      </c>
      <c r="I6" t="s">
        <v>65</v>
      </c>
      <c r="J6" s="1">
        <v>43538</v>
      </c>
      <c r="K6" t="s">
        <v>59</v>
      </c>
      <c r="L6" t="s">
        <v>42</v>
      </c>
      <c r="M6">
        <v>45773</v>
      </c>
      <c r="N6" t="s">
        <v>60</v>
      </c>
      <c r="O6">
        <v>8776</v>
      </c>
      <c r="P6" t="s">
        <v>31</v>
      </c>
      <c r="Q6">
        <v>16</v>
      </c>
      <c r="R6">
        <v>4</v>
      </c>
      <c r="S6" t="s">
        <v>32</v>
      </c>
      <c r="T6" t="s">
        <v>62</v>
      </c>
      <c r="U6" t="s">
        <v>44</v>
      </c>
    </row>
    <row r="7" spans="1:21" x14ac:dyDescent="0.3">
      <c r="A7">
        <v>10006</v>
      </c>
      <c r="B7" t="s">
        <v>66</v>
      </c>
      <c r="C7" t="s">
        <v>22</v>
      </c>
      <c r="D7">
        <v>28</v>
      </c>
      <c r="E7" t="s">
        <v>37</v>
      </c>
      <c r="F7" t="s">
        <v>47</v>
      </c>
      <c r="G7" t="s">
        <v>67</v>
      </c>
      <c r="H7" t="s">
        <v>49</v>
      </c>
      <c r="I7" t="s">
        <v>68</v>
      </c>
      <c r="J7" s="1">
        <v>42758</v>
      </c>
      <c r="K7" t="s">
        <v>28</v>
      </c>
      <c r="L7" t="s">
        <v>42</v>
      </c>
      <c r="M7">
        <v>96249</v>
      </c>
      <c r="N7" t="s">
        <v>30</v>
      </c>
      <c r="O7">
        <v>4826</v>
      </c>
      <c r="P7" t="s">
        <v>61</v>
      </c>
      <c r="Q7">
        <v>7</v>
      </c>
      <c r="R7">
        <v>3</v>
      </c>
      <c r="S7" t="s">
        <v>32</v>
      </c>
      <c r="T7" t="s">
        <v>69</v>
      </c>
      <c r="U7" t="s">
        <v>34</v>
      </c>
    </row>
    <row r="8" spans="1:21" x14ac:dyDescent="0.3">
      <c r="A8">
        <v>10007</v>
      </c>
      <c r="B8" t="s">
        <v>70</v>
      </c>
      <c r="C8" t="s">
        <v>22</v>
      </c>
      <c r="D8">
        <v>20</v>
      </c>
      <c r="E8" t="s">
        <v>23</v>
      </c>
      <c r="F8" t="s">
        <v>38</v>
      </c>
      <c r="G8" t="s">
        <v>48</v>
      </c>
      <c r="H8" t="s">
        <v>49</v>
      </c>
      <c r="I8" t="s">
        <v>71</v>
      </c>
      <c r="J8" s="1">
        <v>45521</v>
      </c>
      <c r="K8" t="s">
        <v>28</v>
      </c>
      <c r="L8" t="s">
        <v>51</v>
      </c>
      <c r="M8">
        <v>61596</v>
      </c>
      <c r="N8" t="s">
        <v>30</v>
      </c>
      <c r="O8">
        <v>8818</v>
      </c>
      <c r="P8" t="s">
        <v>61</v>
      </c>
      <c r="Q8">
        <v>4</v>
      </c>
      <c r="R8">
        <v>2</v>
      </c>
      <c r="S8" t="s">
        <v>32</v>
      </c>
      <c r="T8" t="s">
        <v>53</v>
      </c>
      <c r="U8" t="s">
        <v>44</v>
      </c>
    </row>
    <row r="9" spans="1:21" x14ac:dyDescent="0.3">
      <c r="A9">
        <v>10008</v>
      </c>
      <c r="B9" t="s">
        <v>72</v>
      </c>
      <c r="C9" t="s">
        <v>22</v>
      </c>
      <c r="D9">
        <v>58</v>
      </c>
      <c r="E9" t="s">
        <v>64</v>
      </c>
      <c r="F9" t="s">
        <v>73</v>
      </c>
      <c r="G9" t="s">
        <v>39</v>
      </c>
      <c r="H9" t="s">
        <v>74</v>
      </c>
      <c r="I9" t="s">
        <v>75</v>
      </c>
      <c r="J9" s="1">
        <v>41982</v>
      </c>
      <c r="K9" t="s">
        <v>28</v>
      </c>
      <c r="L9" t="s">
        <v>51</v>
      </c>
      <c r="M9">
        <v>97869</v>
      </c>
      <c r="N9" t="s">
        <v>60</v>
      </c>
      <c r="O9">
        <v>1966</v>
      </c>
      <c r="P9" t="s">
        <v>31</v>
      </c>
      <c r="Q9">
        <v>10</v>
      </c>
      <c r="R9">
        <v>1</v>
      </c>
      <c r="S9" t="s">
        <v>32</v>
      </c>
      <c r="T9" t="s">
        <v>33</v>
      </c>
      <c r="U9" t="s">
        <v>34</v>
      </c>
    </row>
    <row r="10" spans="1:21" x14ac:dyDescent="0.3">
      <c r="A10">
        <v>10009</v>
      </c>
      <c r="B10" t="s">
        <v>76</v>
      </c>
      <c r="C10" t="s">
        <v>22</v>
      </c>
      <c r="D10">
        <v>44</v>
      </c>
      <c r="E10" t="s">
        <v>56</v>
      </c>
      <c r="F10" t="s">
        <v>73</v>
      </c>
      <c r="G10" t="s">
        <v>48</v>
      </c>
      <c r="H10" t="s">
        <v>49</v>
      </c>
      <c r="I10" t="s">
        <v>77</v>
      </c>
      <c r="J10" s="1">
        <v>44375</v>
      </c>
      <c r="K10" t="s">
        <v>28</v>
      </c>
      <c r="L10" t="s">
        <v>29</v>
      </c>
      <c r="M10">
        <v>81235</v>
      </c>
      <c r="N10" t="s">
        <v>60</v>
      </c>
      <c r="O10">
        <v>6553</v>
      </c>
      <c r="P10" t="s">
        <v>44</v>
      </c>
      <c r="Q10">
        <v>16</v>
      </c>
      <c r="R10">
        <v>2</v>
      </c>
      <c r="S10" t="s">
        <v>44</v>
      </c>
      <c r="T10" t="s">
        <v>53</v>
      </c>
      <c r="U10" t="s">
        <v>34</v>
      </c>
    </row>
    <row r="11" spans="1:21" x14ac:dyDescent="0.3">
      <c r="A11">
        <v>10010</v>
      </c>
      <c r="B11" t="s">
        <v>78</v>
      </c>
      <c r="C11" t="s">
        <v>22</v>
      </c>
      <c r="D11">
        <v>29</v>
      </c>
      <c r="E11" t="s">
        <v>37</v>
      </c>
      <c r="F11" t="s">
        <v>38</v>
      </c>
      <c r="G11" t="s">
        <v>48</v>
      </c>
      <c r="H11" t="s">
        <v>57</v>
      </c>
      <c r="I11" t="s">
        <v>79</v>
      </c>
      <c r="J11" s="1">
        <v>43240</v>
      </c>
      <c r="K11" t="s">
        <v>28</v>
      </c>
      <c r="L11" t="s">
        <v>42</v>
      </c>
      <c r="M11">
        <v>87852</v>
      </c>
      <c r="N11" t="s">
        <v>60</v>
      </c>
      <c r="O11">
        <v>4980</v>
      </c>
      <c r="P11" t="s">
        <v>61</v>
      </c>
      <c r="Q11">
        <v>19</v>
      </c>
      <c r="R11">
        <v>3</v>
      </c>
      <c r="S11" t="s">
        <v>44</v>
      </c>
      <c r="T11" t="s">
        <v>62</v>
      </c>
      <c r="U11" t="s">
        <v>34</v>
      </c>
    </row>
    <row r="12" spans="1:21" x14ac:dyDescent="0.3">
      <c r="A12">
        <v>10011</v>
      </c>
      <c r="B12" t="s">
        <v>80</v>
      </c>
      <c r="C12" t="s">
        <v>36</v>
      </c>
      <c r="D12">
        <v>23</v>
      </c>
      <c r="E12" t="s">
        <v>23</v>
      </c>
      <c r="F12" t="s">
        <v>73</v>
      </c>
      <c r="G12" t="s">
        <v>25</v>
      </c>
      <c r="H12" t="s">
        <v>49</v>
      </c>
      <c r="I12" t="s">
        <v>81</v>
      </c>
      <c r="J12" s="1">
        <v>42779</v>
      </c>
      <c r="K12" t="s">
        <v>59</v>
      </c>
      <c r="L12" t="s">
        <v>42</v>
      </c>
      <c r="M12">
        <v>59359</v>
      </c>
      <c r="N12" t="s">
        <v>60</v>
      </c>
      <c r="O12">
        <v>9449</v>
      </c>
      <c r="P12" t="s">
        <v>61</v>
      </c>
      <c r="Q12">
        <v>20</v>
      </c>
      <c r="R12">
        <v>3</v>
      </c>
      <c r="S12" t="s">
        <v>44</v>
      </c>
      <c r="T12" t="s">
        <v>53</v>
      </c>
      <c r="U12" t="s">
        <v>44</v>
      </c>
    </row>
    <row r="13" spans="1:21" x14ac:dyDescent="0.3">
      <c r="A13">
        <v>10012</v>
      </c>
      <c r="B13" t="s">
        <v>82</v>
      </c>
      <c r="C13" t="s">
        <v>36</v>
      </c>
      <c r="D13">
        <v>30</v>
      </c>
      <c r="E13" t="s">
        <v>37</v>
      </c>
      <c r="F13" t="s">
        <v>24</v>
      </c>
      <c r="G13" t="s">
        <v>39</v>
      </c>
      <c r="H13" t="s">
        <v>26</v>
      </c>
      <c r="I13" t="s">
        <v>83</v>
      </c>
      <c r="J13" s="1">
        <v>45417</v>
      </c>
      <c r="K13" t="s">
        <v>59</v>
      </c>
      <c r="L13" t="s">
        <v>51</v>
      </c>
      <c r="M13">
        <v>81225</v>
      </c>
      <c r="N13" t="s">
        <v>52</v>
      </c>
      <c r="O13">
        <v>6202</v>
      </c>
      <c r="P13" t="s">
        <v>61</v>
      </c>
      <c r="Q13">
        <v>2</v>
      </c>
      <c r="R13">
        <v>2</v>
      </c>
      <c r="S13" t="s">
        <v>45</v>
      </c>
      <c r="T13" t="s">
        <v>84</v>
      </c>
      <c r="U13" t="s">
        <v>34</v>
      </c>
    </row>
    <row r="14" spans="1:21" x14ac:dyDescent="0.3">
      <c r="A14">
        <v>10013</v>
      </c>
      <c r="B14" t="s">
        <v>85</v>
      </c>
      <c r="C14" t="s">
        <v>22</v>
      </c>
      <c r="D14">
        <v>49</v>
      </c>
      <c r="E14" t="s">
        <v>86</v>
      </c>
      <c r="F14" t="s">
        <v>38</v>
      </c>
      <c r="G14" t="s">
        <v>25</v>
      </c>
      <c r="H14" t="s">
        <v>26</v>
      </c>
      <c r="I14" t="s">
        <v>87</v>
      </c>
      <c r="J14" s="1">
        <v>44670</v>
      </c>
      <c r="K14" t="s">
        <v>59</v>
      </c>
      <c r="L14" t="s">
        <v>29</v>
      </c>
      <c r="M14">
        <v>32788</v>
      </c>
      <c r="N14" t="s">
        <v>52</v>
      </c>
      <c r="O14">
        <v>4396</v>
      </c>
      <c r="P14" t="s">
        <v>31</v>
      </c>
      <c r="Q14">
        <v>13</v>
      </c>
      <c r="R14">
        <v>5</v>
      </c>
      <c r="S14" t="s">
        <v>44</v>
      </c>
      <c r="T14" t="s">
        <v>69</v>
      </c>
      <c r="U14" t="s">
        <v>54</v>
      </c>
    </row>
    <row r="15" spans="1:21" x14ac:dyDescent="0.3">
      <c r="A15">
        <v>10014</v>
      </c>
      <c r="B15" t="s">
        <v>88</v>
      </c>
      <c r="C15" t="s">
        <v>36</v>
      </c>
      <c r="D15">
        <v>60</v>
      </c>
      <c r="E15" t="s">
        <v>64</v>
      </c>
      <c r="F15" t="s">
        <v>89</v>
      </c>
      <c r="G15" t="s">
        <v>25</v>
      </c>
      <c r="H15" t="s">
        <v>57</v>
      </c>
      <c r="I15" t="s">
        <v>90</v>
      </c>
      <c r="J15" s="1">
        <v>42324</v>
      </c>
      <c r="K15" t="s">
        <v>59</v>
      </c>
      <c r="L15" t="s">
        <v>51</v>
      </c>
      <c r="M15">
        <v>70452</v>
      </c>
      <c r="N15" t="s">
        <v>52</v>
      </c>
      <c r="O15">
        <v>9911</v>
      </c>
      <c r="P15" t="s">
        <v>44</v>
      </c>
      <c r="Q15">
        <v>2</v>
      </c>
      <c r="R15">
        <v>1</v>
      </c>
      <c r="S15" t="s">
        <v>44</v>
      </c>
      <c r="T15" t="s">
        <v>69</v>
      </c>
      <c r="U15" t="s">
        <v>34</v>
      </c>
    </row>
    <row r="16" spans="1:21" x14ac:dyDescent="0.3">
      <c r="A16">
        <v>10015</v>
      </c>
      <c r="B16" t="s">
        <v>91</v>
      </c>
      <c r="C16" t="s">
        <v>36</v>
      </c>
      <c r="D16">
        <v>46</v>
      </c>
      <c r="E16" t="s">
        <v>86</v>
      </c>
      <c r="F16" t="s">
        <v>38</v>
      </c>
      <c r="G16" t="s">
        <v>67</v>
      </c>
      <c r="H16" t="s">
        <v>26</v>
      </c>
      <c r="I16" t="s">
        <v>92</v>
      </c>
      <c r="J16" s="1">
        <v>45178</v>
      </c>
      <c r="K16" t="s">
        <v>28</v>
      </c>
      <c r="L16" t="s">
        <v>42</v>
      </c>
      <c r="M16">
        <v>33045</v>
      </c>
      <c r="N16" t="s">
        <v>43</v>
      </c>
      <c r="O16">
        <v>1456</v>
      </c>
      <c r="P16" t="s">
        <v>44</v>
      </c>
      <c r="Q16">
        <v>16</v>
      </c>
      <c r="R16">
        <v>3</v>
      </c>
      <c r="S16" t="s">
        <v>45</v>
      </c>
      <c r="T16" t="s">
        <v>69</v>
      </c>
      <c r="U16" t="s">
        <v>44</v>
      </c>
    </row>
    <row r="17" spans="1:21" x14ac:dyDescent="0.3">
      <c r="A17">
        <v>10016</v>
      </c>
      <c r="B17" t="s">
        <v>93</v>
      </c>
      <c r="C17" t="s">
        <v>36</v>
      </c>
      <c r="D17">
        <v>57</v>
      </c>
      <c r="E17" t="s">
        <v>64</v>
      </c>
      <c r="F17" t="s">
        <v>47</v>
      </c>
      <c r="G17" t="s">
        <v>67</v>
      </c>
      <c r="H17" t="s">
        <v>40</v>
      </c>
      <c r="I17" t="s">
        <v>94</v>
      </c>
      <c r="J17" s="1">
        <v>43081</v>
      </c>
      <c r="K17" t="s">
        <v>95</v>
      </c>
      <c r="L17" t="s">
        <v>51</v>
      </c>
      <c r="M17">
        <v>96429</v>
      </c>
      <c r="N17" t="s">
        <v>30</v>
      </c>
      <c r="O17">
        <v>4740</v>
      </c>
      <c r="P17" t="s">
        <v>44</v>
      </c>
      <c r="Q17">
        <v>8</v>
      </c>
      <c r="R17">
        <v>1</v>
      </c>
      <c r="S17" t="s">
        <v>45</v>
      </c>
      <c r="T17" t="s">
        <v>62</v>
      </c>
      <c r="U17" t="s">
        <v>44</v>
      </c>
    </row>
    <row r="18" spans="1:21" x14ac:dyDescent="0.3">
      <c r="A18">
        <v>10017</v>
      </c>
      <c r="B18" t="s">
        <v>96</v>
      </c>
      <c r="C18" t="s">
        <v>22</v>
      </c>
      <c r="D18">
        <v>24</v>
      </c>
      <c r="E18" t="s">
        <v>23</v>
      </c>
      <c r="F18" t="s">
        <v>38</v>
      </c>
      <c r="G18" t="s">
        <v>48</v>
      </c>
      <c r="H18" t="s">
        <v>49</v>
      </c>
      <c r="I18" t="s">
        <v>97</v>
      </c>
      <c r="J18" s="1">
        <v>42804</v>
      </c>
      <c r="K18" t="s">
        <v>95</v>
      </c>
      <c r="L18" t="s">
        <v>51</v>
      </c>
      <c r="M18">
        <v>33183</v>
      </c>
      <c r="N18" t="s">
        <v>60</v>
      </c>
      <c r="O18">
        <v>8114</v>
      </c>
      <c r="P18" t="s">
        <v>44</v>
      </c>
      <c r="Q18">
        <v>4</v>
      </c>
      <c r="R18">
        <v>2</v>
      </c>
      <c r="S18" t="s">
        <v>45</v>
      </c>
      <c r="T18" t="s">
        <v>84</v>
      </c>
      <c r="U18" t="s">
        <v>54</v>
      </c>
    </row>
    <row r="19" spans="1:21" x14ac:dyDescent="0.3">
      <c r="A19">
        <v>10018</v>
      </c>
      <c r="B19" t="s">
        <v>55</v>
      </c>
      <c r="C19" t="s">
        <v>22</v>
      </c>
      <c r="D19">
        <v>35</v>
      </c>
      <c r="E19" t="s">
        <v>37</v>
      </c>
      <c r="F19" t="s">
        <v>89</v>
      </c>
      <c r="G19" t="s">
        <v>67</v>
      </c>
      <c r="H19" t="s">
        <v>26</v>
      </c>
      <c r="I19" t="s">
        <v>98</v>
      </c>
      <c r="J19" s="1">
        <v>43528</v>
      </c>
      <c r="K19" t="s">
        <v>95</v>
      </c>
      <c r="L19" t="s">
        <v>29</v>
      </c>
      <c r="M19">
        <v>75065</v>
      </c>
      <c r="N19" t="s">
        <v>30</v>
      </c>
      <c r="O19">
        <v>7123</v>
      </c>
      <c r="P19" t="s">
        <v>44</v>
      </c>
      <c r="Q19">
        <v>20</v>
      </c>
      <c r="R19">
        <v>2</v>
      </c>
      <c r="S19" t="s">
        <v>44</v>
      </c>
      <c r="T19" t="s">
        <v>33</v>
      </c>
      <c r="U19" t="s">
        <v>54</v>
      </c>
    </row>
    <row r="20" spans="1:21" x14ac:dyDescent="0.3">
      <c r="A20">
        <v>10019</v>
      </c>
      <c r="B20" t="s">
        <v>99</v>
      </c>
      <c r="C20" t="s">
        <v>36</v>
      </c>
      <c r="D20">
        <v>41</v>
      </c>
      <c r="E20" t="s">
        <v>56</v>
      </c>
      <c r="F20" t="s">
        <v>38</v>
      </c>
      <c r="G20" t="s">
        <v>39</v>
      </c>
      <c r="H20" t="s">
        <v>74</v>
      </c>
      <c r="I20" t="s">
        <v>100</v>
      </c>
      <c r="J20" s="1">
        <v>44885</v>
      </c>
      <c r="K20" t="s">
        <v>28</v>
      </c>
      <c r="L20" t="s">
        <v>51</v>
      </c>
      <c r="M20">
        <v>32877</v>
      </c>
      <c r="N20" t="s">
        <v>30</v>
      </c>
      <c r="O20">
        <v>6432</v>
      </c>
      <c r="P20" t="s">
        <v>31</v>
      </c>
      <c r="Q20">
        <v>11</v>
      </c>
      <c r="R20">
        <v>1</v>
      </c>
      <c r="S20" t="s">
        <v>44</v>
      </c>
      <c r="T20" t="s">
        <v>33</v>
      </c>
      <c r="U20" t="s">
        <v>44</v>
      </c>
    </row>
    <row r="21" spans="1:21" x14ac:dyDescent="0.3">
      <c r="A21">
        <v>10020</v>
      </c>
      <c r="B21" t="s">
        <v>101</v>
      </c>
      <c r="C21" t="s">
        <v>36</v>
      </c>
      <c r="D21">
        <v>36</v>
      </c>
      <c r="E21" t="s">
        <v>56</v>
      </c>
      <c r="F21" t="s">
        <v>38</v>
      </c>
      <c r="G21" t="s">
        <v>102</v>
      </c>
      <c r="H21" t="s">
        <v>57</v>
      </c>
      <c r="I21" t="s">
        <v>103</v>
      </c>
      <c r="J21" s="1">
        <v>44257</v>
      </c>
      <c r="K21" t="s">
        <v>28</v>
      </c>
      <c r="L21" t="s">
        <v>42</v>
      </c>
      <c r="M21">
        <v>46811</v>
      </c>
      <c r="N21" t="s">
        <v>52</v>
      </c>
      <c r="O21">
        <v>1567</v>
      </c>
      <c r="P21" t="s">
        <v>44</v>
      </c>
      <c r="Q21">
        <v>7</v>
      </c>
      <c r="R21">
        <v>3</v>
      </c>
      <c r="S21" t="s">
        <v>45</v>
      </c>
      <c r="T21" t="s">
        <v>33</v>
      </c>
      <c r="U21" t="s">
        <v>54</v>
      </c>
    </row>
    <row r="22" spans="1:21" x14ac:dyDescent="0.3">
      <c r="A22">
        <v>10021</v>
      </c>
      <c r="B22" t="s">
        <v>104</v>
      </c>
      <c r="C22" t="s">
        <v>36</v>
      </c>
      <c r="D22">
        <v>31</v>
      </c>
      <c r="E22" t="s">
        <v>37</v>
      </c>
      <c r="F22" t="s">
        <v>73</v>
      </c>
      <c r="G22" t="s">
        <v>48</v>
      </c>
      <c r="H22" t="s">
        <v>40</v>
      </c>
      <c r="I22" t="s">
        <v>105</v>
      </c>
      <c r="J22" s="1">
        <v>44409</v>
      </c>
      <c r="K22" t="s">
        <v>59</v>
      </c>
      <c r="L22" t="s">
        <v>42</v>
      </c>
      <c r="M22">
        <v>87538</v>
      </c>
      <c r="N22" t="s">
        <v>30</v>
      </c>
      <c r="O22">
        <v>3588</v>
      </c>
      <c r="P22" t="s">
        <v>61</v>
      </c>
      <c r="Q22">
        <v>11</v>
      </c>
      <c r="R22">
        <v>5</v>
      </c>
      <c r="S22" t="s">
        <v>45</v>
      </c>
      <c r="T22" t="s">
        <v>62</v>
      </c>
      <c r="U22" t="s">
        <v>44</v>
      </c>
    </row>
    <row r="23" spans="1:21" x14ac:dyDescent="0.3">
      <c r="A23">
        <v>10022</v>
      </c>
      <c r="B23" t="s">
        <v>106</v>
      </c>
      <c r="C23" t="s">
        <v>22</v>
      </c>
      <c r="D23">
        <v>28</v>
      </c>
      <c r="E23" t="s">
        <v>37</v>
      </c>
      <c r="F23" t="s">
        <v>24</v>
      </c>
      <c r="G23" t="s">
        <v>39</v>
      </c>
      <c r="H23" t="s">
        <v>74</v>
      </c>
      <c r="I23" t="s">
        <v>107</v>
      </c>
      <c r="J23" s="1">
        <v>42230</v>
      </c>
      <c r="K23" t="s">
        <v>28</v>
      </c>
      <c r="L23" t="s">
        <v>42</v>
      </c>
      <c r="M23">
        <v>73002</v>
      </c>
      <c r="N23" t="s">
        <v>30</v>
      </c>
      <c r="O23">
        <v>6296</v>
      </c>
      <c r="P23" t="s">
        <v>31</v>
      </c>
      <c r="Q23">
        <v>2</v>
      </c>
      <c r="R23">
        <v>5</v>
      </c>
      <c r="S23" t="s">
        <v>45</v>
      </c>
      <c r="T23" t="s">
        <v>53</v>
      </c>
      <c r="U23" t="s">
        <v>34</v>
      </c>
    </row>
    <row r="24" spans="1:21" x14ac:dyDescent="0.3">
      <c r="A24">
        <v>10023</v>
      </c>
      <c r="B24" t="s">
        <v>108</v>
      </c>
      <c r="C24" t="s">
        <v>36</v>
      </c>
      <c r="D24">
        <v>37</v>
      </c>
      <c r="E24" t="s">
        <v>56</v>
      </c>
      <c r="F24" t="s">
        <v>73</v>
      </c>
      <c r="G24" t="s">
        <v>39</v>
      </c>
      <c r="H24" t="s">
        <v>57</v>
      </c>
      <c r="I24" t="s">
        <v>109</v>
      </c>
      <c r="J24" s="1">
        <v>42298</v>
      </c>
      <c r="K24" t="s">
        <v>95</v>
      </c>
      <c r="L24" t="s">
        <v>51</v>
      </c>
      <c r="M24">
        <v>41653</v>
      </c>
      <c r="N24" t="s">
        <v>52</v>
      </c>
      <c r="O24">
        <v>9236</v>
      </c>
      <c r="P24" t="s">
        <v>44</v>
      </c>
      <c r="Q24">
        <v>13</v>
      </c>
      <c r="R24">
        <v>1</v>
      </c>
      <c r="S24" t="s">
        <v>45</v>
      </c>
      <c r="T24" t="s">
        <v>33</v>
      </c>
      <c r="U24" t="s">
        <v>44</v>
      </c>
    </row>
    <row r="25" spans="1:21" x14ac:dyDescent="0.3">
      <c r="A25">
        <v>10024</v>
      </c>
      <c r="B25" t="s">
        <v>110</v>
      </c>
      <c r="C25" t="s">
        <v>22</v>
      </c>
      <c r="D25">
        <v>31</v>
      </c>
      <c r="E25" t="s">
        <v>37</v>
      </c>
      <c r="F25" t="s">
        <v>24</v>
      </c>
      <c r="G25" t="s">
        <v>25</v>
      </c>
      <c r="H25" t="s">
        <v>49</v>
      </c>
      <c r="I25" t="s">
        <v>111</v>
      </c>
      <c r="J25" s="1">
        <v>42077</v>
      </c>
      <c r="K25" t="s">
        <v>59</v>
      </c>
      <c r="L25" t="s">
        <v>42</v>
      </c>
      <c r="M25">
        <v>67582</v>
      </c>
      <c r="N25" t="s">
        <v>60</v>
      </c>
      <c r="O25">
        <v>1375</v>
      </c>
      <c r="P25" t="s">
        <v>31</v>
      </c>
      <c r="Q25">
        <v>20</v>
      </c>
      <c r="R25">
        <v>3</v>
      </c>
      <c r="S25" t="s">
        <v>45</v>
      </c>
      <c r="T25" t="s">
        <v>53</v>
      </c>
      <c r="U25" t="s">
        <v>44</v>
      </c>
    </row>
    <row r="26" spans="1:21" x14ac:dyDescent="0.3">
      <c r="A26">
        <v>10025</v>
      </c>
      <c r="B26" t="s">
        <v>112</v>
      </c>
      <c r="C26" t="s">
        <v>22</v>
      </c>
      <c r="D26">
        <v>23</v>
      </c>
      <c r="E26" t="s">
        <v>23</v>
      </c>
      <c r="F26" t="s">
        <v>73</v>
      </c>
      <c r="G26" t="s">
        <v>39</v>
      </c>
      <c r="H26" t="s">
        <v>40</v>
      </c>
      <c r="I26" t="s">
        <v>113</v>
      </c>
      <c r="J26" s="1">
        <v>45434</v>
      </c>
      <c r="K26" t="s">
        <v>95</v>
      </c>
      <c r="L26" t="s">
        <v>42</v>
      </c>
      <c r="M26">
        <v>37351</v>
      </c>
      <c r="N26" t="s">
        <v>52</v>
      </c>
      <c r="O26">
        <v>7858</v>
      </c>
      <c r="P26" t="s">
        <v>61</v>
      </c>
      <c r="Q26">
        <v>18</v>
      </c>
      <c r="R26">
        <v>2</v>
      </c>
      <c r="S26" t="s">
        <v>32</v>
      </c>
      <c r="T26" t="s">
        <v>53</v>
      </c>
      <c r="U26" t="s">
        <v>54</v>
      </c>
    </row>
    <row r="27" spans="1:21" x14ac:dyDescent="0.3">
      <c r="A27">
        <v>10026</v>
      </c>
      <c r="B27" t="s">
        <v>114</v>
      </c>
      <c r="C27" t="s">
        <v>22</v>
      </c>
      <c r="D27">
        <v>48</v>
      </c>
      <c r="E27" t="s">
        <v>86</v>
      </c>
      <c r="F27" t="s">
        <v>89</v>
      </c>
      <c r="G27" t="s">
        <v>48</v>
      </c>
      <c r="H27" t="s">
        <v>26</v>
      </c>
      <c r="I27" t="s">
        <v>115</v>
      </c>
      <c r="J27" s="1">
        <v>42813</v>
      </c>
      <c r="K27" t="s">
        <v>28</v>
      </c>
      <c r="L27" t="s">
        <v>42</v>
      </c>
      <c r="M27">
        <v>36721</v>
      </c>
      <c r="N27" t="s">
        <v>43</v>
      </c>
      <c r="O27">
        <v>8820</v>
      </c>
      <c r="P27" t="s">
        <v>61</v>
      </c>
      <c r="Q27">
        <v>0</v>
      </c>
      <c r="R27">
        <v>2</v>
      </c>
      <c r="S27" t="s">
        <v>45</v>
      </c>
      <c r="T27" t="s">
        <v>53</v>
      </c>
      <c r="U27" t="s">
        <v>34</v>
      </c>
    </row>
    <row r="28" spans="1:21" x14ac:dyDescent="0.3">
      <c r="A28">
        <v>10027</v>
      </c>
      <c r="B28" t="s">
        <v>116</v>
      </c>
      <c r="C28" t="s">
        <v>36</v>
      </c>
      <c r="D28">
        <v>28</v>
      </c>
      <c r="E28" t="s">
        <v>37</v>
      </c>
      <c r="F28" t="s">
        <v>47</v>
      </c>
      <c r="G28" t="s">
        <v>102</v>
      </c>
      <c r="H28" t="s">
        <v>26</v>
      </c>
      <c r="I28" t="s">
        <v>117</v>
      </c>
      <c r="J28" s="1">
        <v>44454</v>
      </c>
      <c r="K28" t="s">
        <v>59</v>
      </c>
      <c r="L28" t="s">
        <v>51</v>
      </c>
      <c r="M28">
        <v>46326</v>
      </c>
      <c r="N28" t="s">
        <v>43</v>
      </c>
      <c r="O28">
        <v>9189</v>
      </c>
      <c r="P28" t="s">
        <v>61</v>
      </c>
      <c r="Q28">
        <v>8</v>
      </c>
      <c r="R28">
        <v>4</v>
      </c>
      <c r="S28" t="s">
        <v>32</v>
      </c>
      <c r="T28" t="s">
        <v>69</v>
      </c>
      <c r="U28" t="s">
        <v>54</v>
      </c>
    </row>
    <row r="29" spans="1:21" x14ac:dyDescent="0.3">
      <c r="A29">
        <v>10028</v>
      </c>
      <c r="B29" t="s">
        <v>118</v>
      </c>
      <c r="C29" t="s">
        <v>36</v>
      </c>
      <c r="D29">
        <v>30</v>
      </c>
      <c r="E29" t="s">
        <v>37</v>
      </c>
      <c r="F29" t="s">
        <v>38</v>
      </c>
      <c r="G29" t="s">
        <v>67</v>
      </c>
      <c r="H29" t="s">
        <v>40</v>
      </c>
      <c r="I29" t="s">
        <v>119</v>
      </c>
      <c r="J29" s="1">
        <v>44690</v>
      </c>
      <c r="K29" t="s">
        <v>28</v>
      </c>
      <c r="L29" t="s">
        <v>29</v>
      </c>
      <c r="M29">
        <v>59007</v>
      </c>
      <c r="N29" t="s">
        <v>30</v>
      </c>
      <c r="O29">
        <v>3380</v>
      </c>
      <c r="P29" t="s">
        <v>31</v>
      </c>
      <c r="Q29">
        <v>17</v>
      </c>
      <c r="R29">
        <v>3</v>
      </c>
      <c r="S29" t="s">
        <v>44</v>
      </c>
      <c r="T29" t="s">
        <v>84</v>
      </c>
      <c r="U29" t="s">
        <v>34</v>
      </c>
    </row>
    <row r="30" spans="1:21" x14ac:dyDescent="0.3">
      <c r="A30">
        <v>10029</v>
      </c>
      <c r="B30" t="s">
        <v>120</v>
      </c>
      <c r="C30" t="s">
        <v>36</v>
      </c>
      <c r="D30">
        <v>46</v>
      </c>
      <c r="E30" t="s">
        <v>86</v>
      </c>
      <c r="F30" t="s">
        <v>73</v>
      </c>
      <c r="G30" t="s">
        <v>25</v>
      </c>
      <c r="H30" t="s">
        <v>57</v>
      </c>
      <c r="I30" t="s">
        <v>121</v>
      </c>
      <c r="J30" s="1">
        <v>42908</v>
      </c>
      <c r="K30" t="s">
        <v>28</v>
      </c>
      <c r="L30" t="s">
        <v>42</v>
      </c>
      <c r="M30">
        <v>52020</v>
      </c>
      <c r="N30" t="s">
        <v>43</v>
      </c>
      <c r="O30">
        <v>9585</v>
      </c>
      <c r="P30" t="s">
        <v>61</v>
      </c>
      <c r="Q30">
        <v>0</v>
      </c>
      <c r="R30">
        <v>4</v>
      </c>
      <c r="S30" t="s">
        <v>45</v>
      </c>
      <c r="T30" t="s">
        <v>84</v>
      </c>
      <c r="U30" t="s">
        <v>44</v>
      </c>
    </row>
    <row r="31" spans="1:21" x14ac:dyDescent="0.3">
      <c r="A31">
        <v>10030</v>
      </c>
      <c r="B31" t="s">
        <v>122</v>
      </c>
      <c r="C31" t="s">
        <v>36</v>
      </c>
      <c r="D31">
        <v>44</v>
      </c>
      <c r="E31" t="s">
        <v>56</v>
      </c>
      <c r="F31" t="s">
        <v>38</v>
      </c>
      <c r="G31" t="s">
        <v>48</v>
      </c>
      <c r="H31" t="s">
        <v>40</v>
      </c>
      <c r="I31" t="s">
        <v>123</v>
      </c>
      <c r="J31" s="1">
        <v>44163</v>
      </c>
      <c r="K31" t="s">
        <v>95</v>
      </c>
      <c r="L31" t="s">
        <v>42</v>
      </c>
      <c r="M31">
        <v>98961</v>
      </c>
      <c r="N31" t="s">
        <v>52</v>
      </c>
      <c r="O31">
        <v>2688</v>
      </c>
      <c r="P31" t="s">
        <v>31</v>
      </c>
      <c r="Q31">
        <v>2</v>
      </c>
      <c r="R31">
        <v>5</v>
      </c>
      <c r="S31" t="s">
        <v>45</v>
      </c>
      <c r="T31" t="s">
        <v>84</v>
      </c>
      <c r="U31" t="s">
        <v>34</v>
      </c>
    </row>
    <row r="32" spans="1:21" x14ac:dyDescent="0.3">
      <c r="A32">
        <v>10031</v>
      </c>
      <c r="B32" t="s">
        <v>124</v>
      </c>
      <c r="C32" t="s">
        <v>36</v>
      </c>
      <c r="D32">
        <v>45</v>
      </c>
      <c r="E32" t="s">
        <v>56</v>
      </c>
      <c r="F32" t="s">
        <v>47</v>
      </c>
      <c r="G32" t="s">
        <v>67</v>
      </c>
      <c r="H32" t="s">
        <v>49</v>
      </c>
      <c r="I32" t="s">
        <v>125</v>
      </c>
      <c r="J32" s="1">
        <v>42246</v>
      </c>
      <c r="K32" t="s">
        <v>95</v>
      </c>
      <c r="L32" t="s">
        <v>42</v>
      </c>
      <c r="M32">
        <v>81943</v>
      </c>
      <c r="N32" t="s">
        <v>30</v>
      </c>
      <c r="O32">
        <v>2255</v>
      </c>
      <c r="P32" t="s">
        <v>31</v>
      </c>
      <c r="Q32">
        <v>18</v>
      </c>
      <c r="R32">
        <v>2</v>
      </c>
      <c r="S32" t="s">
        <v>44</v>
      </c>
      <c r="T32" t="s">
        <v>62</v>
      </c>
      <c r="U32" t="s">
        <v>34</v>
      </c>
    </row>
    <row r="33" spans="1:21" x14ac:dyDescent="0.3">
      <c r="A33">
        <v>10032</v>
      </c>
      <c r="B33" t="s">
        <v>126</v>
      </c>
      <c r="C33" t="s">
        <v>36</v>
      </c>
      <c r="D33">
        <v>52</v>
      </c>
      <c r="E33" t="s">
        <v>86</v>
      </c>
      <c r="F33" t="s">
        <v>89</v>
      </c>
      <c r="G33" t="s">
        <v>48</v>
      </c>
      <c r="H33" t="s">
        <v>40</v>
      </c>
      <c r="I33" t="s">
        <v>127</v>
      </c>
      <c r="J33" s="1">
        <v>43400</v>
      </c>
      <c r="K33" t="s">
        <v>95</v>
      </c>
      <c r="L33" t="s">
        <v>42</v>
      </c>
      <c r="M33">
        <v>47627</v>
      </c>
      <c r="N33" t="s">
        <v>30</v>
      </c>
      <c r="O33">
        <v>1221</v>
      </c>
      <c r="P33" t="s">
        <v>44</v>
      </c>
      <c r="Q33">
        <v>4</v>
      </c>
      <c r="R33">
        <v>3</v>
      </c>
      <c r="S33" t="s">
        <v>44</v>
      </c>
      <c r="T33" t="s">
        <v>53</v>
      </c>
      <c r="U33" t="s">
        <v>44</v>
      </c>
    </row>
    <row r="34" spans="1:21" x14ac:dyDescent="0.3">
      <c r="A34">
        <v>10033</v>
      </c>
      <c r="B34" t="s">
        <v>128</v>
      </c>
      <c r="C34" t="s">
        <v>22</v>
      </c>
      <c r="D34">
        <v>52</v>
      </c>
      <c r="E34" t="s">
        <v>86</v>
      </c>
      <c r="F34" t="s">
        <v>24</v>
      </c>
      <c r="G34" t="s">
        <v>25</v>
      </c>
      <c r="H34" t="s">
        <v>74</v>
      </c>
      <c r="I34" t="s">
        <v>129</v>
      </c>
      <c r="J34" s="1">
        <v>43338</v>
      </c>
      <c r="K34" t="s">
        <v>95</v>
      </c>
      <c r="L34" t="s">
        <v>42</v>
      </c>
      <c r="M34">
        <v>56162</v>
      </c>
      <c r="N34" t="s">
        <v>52</v>
      </c>
      <c r="O34">
        <v>6560</v>
      </c>
      <c r="P34" t="s">
        <v>61</v>
      </c>
      <c r="Q34">
        <v>9</v>
      </c>
      <c r="R34">
        <v>4</v>
      </c>
      <c r="S34" t="s">
        <v>45</v>
      </c>
      <c r="T34" t="s">
        <v>69</v>
      </c>
      <c r="U34" t="s">
        <v>44</v>
      </c>
    </row>
    <row r="35" spans="1:21" x14ac:dyDescent="0.3">
      <c r="A35">
        <v>10034</v>
      </c>
      <c r="B35" t="s">
        <v>130</v>
      </c>
      <c r="C35" t="s">
        <v>22</v>
      </c>
      <c r="D35">
        <v>42</v>
      </c>
      <c r="E35" t="s">
        <v>56</v>
      </c>
      <c r="F35" t="s">
        <v>38</v>
      </c>
      <c r="G35" t="s">
        <v>48</v>
      </c>
      <c r="H35" t="s">
        <v>49</v>
      </c>
      <c r="I35" t="s">
        <v>131</v>
      </c>
      <c r="J35" s="1">
        <v>45131</v>
      </c>
      <c r="K35" t="s">
        <v>59</v>
      </c>
      <c r="L35" t="s">
        <v>51</v>
      </c>
      <c r="M35">
        <v>95734</v>
      </c>
      <c r="N35" t="s">
        <v>30</v>
      </c>
      <c r="O35">
        <v>4854</v>
      </c>
      <c r="P35" t="s">
        <v>31</v>
      </c>
      <c r="Q35">
        <v>13</v>
      </c>
      <c r="R35">
        <v>2</v>
      </c>
      <c r="S35" t="s">
        <v>32</v>
      </c>
      <c r="T35" t="s">
        <v>33</v>
      </c>
      <c r="U35" t="s">
        <v>34</v>
      </c>
    </row>
    <row r="36" spans="1:21" x14ac:dyDescent="0.3">
      <c r="A36">
        <v>10035</v>
      </c>
      <c r="B36" t="s">
        <v>132</v>
      </c>
      <c r="C36" t="s">
        <v>36</v>
      </c>
      <c r="D36">
        <v>58</v>
      </c>
      <c r="E36" t="s">
        <v>64</v>
      </c>
      <c r="F36" t="s">
        <v>38</v>
      </c>
      <c r="G36" t="s">
        <v>39</v>
      </c>
      <c r="H36" t="s">
        <v>57</v>
      </c>
      <c r="I36" t="s">
        <v>133</v>
      </c>
      <c r="J36" s="1">
        <v>43290</v>
      </c>
      <c r="K36" t="s">
        <v>59</v>
      </c>
      <c r="L36" t="s">
        <v>51</v>
      </c>
      <c r="M36">
        <v>74789</v>
      </c>
      <c r="N36" t="s">
        <v>30</v>
      </c>
      <c r="O36">
        <v>8101</v>
      </c>
      <c r="P36" t="s">
        <v>61</v>
      </c>
      <c r="Q36">
        <v>14</v>
      </c>
      <c r="R36">
        <v>5</v>
      </c>
      <c r="S36" t="s">
        <v>45</v>
      </c>
      <c r="T36" t="s">
        <v>62</v>
      </c>
      <c r="U36" t="s">
        <v>44</v>
      </c>
    </row>
    <row r="37" spans="1:21" x14ac:dyDescent="0.3">
      <c r="A37">
        <v>10036</v>
      </c>
      <c r="B37" t="s">
        <v>134</v>
      </c>
      <c r="C37" t="s">
        <v>22</v>
      </c>
      <c r="D37">
        <v>24</v>
      </c>
      <c r="E37" t="s">
        <v>23</v>
      </c>
      <c r="F37" t="s">
        <v>89</v>
      </c>
      <c r="G37" t="s">
        <v>25</v>
      </c>
      <c r="H37" t="s">
        <v>57</v>
      </c>
      <c r="I37" t="s">
        <v>135</v>
      </c>
      <c r="J37" s="1">
        <v>42725</v>
      </c>
      <c r="K37" t="s">
        <v>28</v>
      </c>
      <c r="L37" t="s">
        <v>51</v>
      </c>
      <c r="M37">
        <v>30137</v>
      </c>
      <c r="N37" t="s">
        <v>43</v>
      </c>
      <c r="O37">
        <v>4031</v>
      </c>
      <c r="P37" t="s">
        <v>44</v>
      </c>
      <c r="Q37">
        <v>5</v>
      </c>
      <c r="R37">
        <v>3</v>
      </c>
      <c r="S37" t="s">
        <v>44</v>
      </c>
      <c r="T37" t="s">
        <v>53</v>
      </c>
      <c r="U37" t="s">
        <v>34</v>
      </c>
    </row>
    <row r="38" spans="1:21" x14ac:dyDescent="0.3">
      <c r="A38">
        <v>10037</v>
      </c>
      <c r="B38" t="s">
        <v>136</v>
      </c>
      <c r="C38" t="s">
        <v>36</v>
      </c>
      <c r="D38">
        <v>21</v>
      </c>
      <c r="E38" t="s">
        <v>23</v>
      </c>
      <c r="F38" t="s">
        <v>38</v>
      </c>
      <c r="G38" t="s">
        <v>25</v>
      </c>
      <c r="H38" t="s">
        <v>26</v>
      </c>
      <c r="I38" t="s">
        <v>137</v>
      </c>
      <c r="J38" s="1">
        <v>43643</v>
      </c>
      <c r="K38" t="s">
        <v>28</v>
      </c>
      <c r="L38" t="s">
        <v>51</v>
      </c>
      <c r="M38">
        <v>95510</v>
      </c>
      <c r="N38" t="s">
        <v>30</v>
      </c>
      <c r="O38">
        <v>6811</v>
      </c>
      <c r="P38" t="s">
        <v>31</v>
      </c>
      <c r="Q38">
        <v>18</v>
      </c>
      <c r="R38">
        <v>4</v>
      </c>
      <c r="S38" t="s">
        <v>45</v>
      </c>
      <c r="T38" t="s">
        <v>84</v>
      </c>
      <c r="U38" t="s">
        <v>34</v>
      </c>
    </row>
    <row r="39" spans="1:21" x14ac:dyDescent="0.3">
      <c r="A39">
        <v>10038</v>
      </c>
      <c r="B39" t="s">
        <v>138</v>
      </c>
      <c r="C39" t="s">
        <v>36</v>
      </c>
      <c r="D39">
        <v>58</v>
      </c>
      <c r="E39" t="s">
        <v>64</v>
      </c>
      <c r="F39" t="s">
        <v>38</v>
      </c>
      <c r="G39" t="s">
        <v>67</v>
      </c>
      <c r="H39" t="s">
        <v>26</v>
      </c>
      <c r="I39" t="s">
        <v>139</v>
      </c>
      <c r="J39" s="1">
        <v>44435</v>
      </c>
      <c r="K39" t="s">
        <v>59</v>
      </c>
      <c r="L39" t="s">
        <v>29</v>
      </c>
      <c r="M39">
        <v>80325</v>
      </c>
      <c r="N39" t="s">
        <v>43</v>
      </c>
      <c r="O39">
        <v>6230</v>
      </c>
      <c r="P39" t="s">
        <v>31</v>
      </c>
      <c r="Q39">
        <v>5</v>
      </c>
      <c r="R39">
        <v>4</v>
      </c>
      <c r="S39" t="s">
        <v>44</v>
      </c>
      <c r="T39" t="s">
        <v>62</v>
      </c>
      <c r="U39" t="s">
        <v>54</v>
      </c>
    </row>
    <row r="40" spans="1:21" x14ac:dyDescent="0.3">
      <c r="A40">
        <v>10039</v>
      </c>
      <c r="B40" t="s">
        <v>140</v>
      </c>
      <c r="C40" t="s">
        <v>22</v>
      </c>
      <c r="D40">
        <v>57</v>
      </c>
      <c r="E40" t="s">
        <v>64</v>
      </c>
      <c r="F40" t="s">
        <v>73</v>
      </c>
      <c r="G40" t="s">
        <v>102</v>
      </c>
      <c r="H40" t="s">
        <v>74</v>
      </c>
      <c r="I40" t="s">
        <v>141</v>
      </c>
      <c r="J40" s="1">
        <v>42883</v>
      </c>
      <c r="K40" t="s">
        <v>95</v>
      </c>
      <c r="L40" t="s">
        <v>42</v>
      </c>
      <c r="M40">
        <v>34109</v>
      </c>
      <c r="N40" t="s">
        <v>43</v>
      </c>
      <c r="O40">
        <v>9232</v>
      </c>
      <c r="P40" t="s">
        <v>31</v>
      </c>
      <c r="Q40">
        <v>13</v>
      </c>
      <c r="R40">
        <v>3</v>
      </c>
      <c r="S40" t="s">
        <v>32</v>
      </c>
      <c r="T40" t="s">
        <v>33</v>
      </c>
      <c r="U40" t="s">
        <v>34</v>
      </c>
    </row>
    <row r="41" spans="1:21" x14ac:dyDescent="0.3">
      <c r="A41">
        <v>10040</v>
      </c>
      <c r="B41" t="s">
        <v>142</v>
      </c>
      <c r="C41" t="s">
        <v>36</v>
      </c>
      <c r="D41">
        <v>41</v>
      </c>
      <c r="E41" t="s">
        <v>56</v>
      </c>
      <c r="F41" t="s">
        <v>73</v>
      </c>
      <c r="G41" t="s">
        <v>67</v>
      </c>
      <c r="H41" t="s">
        <v>26</v>
      </c>
      <c r="I41" t="s">
        <v>143</v>
      </c>
      <c r="J41" s="1">
        <v>44591</v>
      </c>
      <c r="K41" t="s">
        <v>95</v>
      </c>
      <c r="L41" t="s">
        <v>51</v>
      </c>
      <c r="M41">
        <v>73330</v>
      </c>
      <c r="N41" t="s">
        <v>30</v>
      </c>
      <c r="O41">
        <v>2276</v>
      </c>
      <c r="P41" t="s">
        <v>61</v>
      </c>
      <c r="Q41">
        <v>5</v>
      </c>
      <c r="R41">
        <v>1</v>
      </c>
      <c r="S41" t="s">
        <v>44</v>
      </c>
      <c r="T41" t="s">
        <v>53</v>
      </c>
      <c r="U41" t="s">
        <v>54</v>
      </c>
    </row>
    <row r="42" spans="1:21" x14ac:dyDescent="0.3">
      <c r="A42">
        <v>10041</v>
      </c>
      <c r="B42" t="s">
        <v>144</v>
      </c>
      <c r="C42" t="s">
        <v>22</v>
      </c>
      <c r="D42">
        <v>58</v>
      </c>
      <c r="E42" t="s">
        <v>64</v>
      </c>
      <c r="F42" t="s">
        <v>47</v>
      </c>
      <c r="G42" t="s">
        <v>48</v>
      </c>
      <c r="H42" t="s">
        <v>40</v>
      </c>
      <c r="I42" t="s">
        <v>145</v>
      </c>
      <c r="J42" s="1">
        <v>42845</v>
      </c>
      <c r="K42" t="s">
        <v>59</v>
      </c>
      <c r="L42" t="s">
        <v>51</v>
      </c>
      <c r="M42">
        <v>46567</v>
      </c>
      <c r="N42" t="s">
        <v>60</v>
      </c>
      <c r="O42">
        <v>2825</v>
      </c>
      <c r="P42" t="s">
        <v>31</v>
      </c>
      <c r="Q42">
        <v>15</v>
      </c>
      <c r="R42">
        <v>3</v>
      </c>
      <c r="S42" t="s">
        <v>44</v>
      </c>
      <c r="T42" t="s">
        <v>84</v>
      </c>
      <c r="U42" t="s">
        <v>54</v>
      </c>
    </row>
    <row r="43" spans="1:21" x14ac:dyDescent="0.3">
      <c r="A43">
        <v>10042</v>
      </c>
      <c r="B43" t="s">
        <v>146</v>
      </c>
      <c r="C43" t="s">
        <v>22</v>
      </c>
      <c r="D43">
        <v>36</v>
      </c>
      <c r="E43" t="s">
        <v>56</v>
      </c>
      <c r="F43" t="s">
        <v>24</v>
      </c>
      <c r="G43" t="s">
        <v>102</v>
      </c>
      <c r="H43" t="s">
        <v>26</v>
      </c>
      <c r="I43" t="s">
        <v>147</v>
      </c>
      <c r="J43" s="1">
        <v>43668</v>
      </c>
      <c r="K43" t="s">
        <v>59</v>
      </c>
      <c r="L43" t="s">
        <v>42</v>
      </c>
      <c r="M43">
        <v>39795</v>
      </c>
      <c r="N43" t="s">
        <v>60</v>
      </c>
      <c r="O43">
        <v>1670</v>
      </c>
      <c r="P43" t="s">
        <v>44</v>
      </c>
      <c r="Q43">
        <v>0</v>
      </c>
      <c r="R43">
        <v>2</v>
      </c>
      <c r="S43" t="s">
        <v>45</v>
      </c>
      <c r="T43" t="s">
        <v>69</v>
      </c>
      <c r="U43" t="s">
        <v>44</v>
      </c>
    </row>
    <row r="44" spans="1:21" x14ac:dyDescent="0.3">
      <c r="A44">
        <v>10043</v>
      </c>
      <c r="B44" t="s">
        <v>148</v>
      </c>
      <c r="C44" t="s">
        <v>22</v>
      </c>
      <c r="D44">
        <v>21</v>
      </c>
      <c r="E44" t="s">
        <v>23</v>
      </c>
      <c r="F44" t="s">
        <v>24</v>
      </c>
      <c r="G44" t="s">
        <v>25</v>
      </c>
      <c r="H44" t="s">
        <v>74</v>
      </c>
      <c r="I44" t="s">
        <v>149</v>
      </c>
      <c r="J44" s="1">
        <v>43433</v>
      </c>
      <c r="K44" t="s">
        <v>59</v>
      </c>
      <c r="L44" t="s">
        <v>51</v>
      </c>
      <c r="M44">
        <v>59506</v>
      </c>
      <c r="N44" t="s">
        <v>60</v>
      </c>
      <c r="O44">
        <v>4428</v>
      </c>
      <c r="P44" t="s">
        <v>61</v>
      </c>
      <c r="Q44">
        <v>0</v>
      </c>
      <c r="R44">
        <v>1</v>
      </c>
      <c r="S44" t="s">
        <v>44</v>
      </c>
      <c r="T44" t="s">
        <v>69</v>
      </c>
      <c r="U44" t="s">
        <v>34</v>
      </c>
    </row>
    <row r="45" spans="1:21" x14ac:dyDescent="0.3">
      <c r="A45">
        <v>10044</v>
      </c>
      <c r="B45" t="s">
        <v>150</v>
      </c>
      <c r="C45" t="s">
        <v>22</v>
      </c>
      <c r="D45">
        <v>46</v>
      </c>
      <c r="E45" t="s">
        <v>86</v>
      </c>
      <c r="F45" t="s">
        <v>47</v>
      </c>
      <c r="G45" t="s">
        <v>39</v>
      </c>
      <c r="H45" t="s">
        <v>74</v>
      </c>
      <c r="I45" t="s">
        <v>151</v>
      </c>
      <c r="J45" s="1">
        <v>44879</v>
      </c>
      <c r="K45" t="s">
        <v>59</v>
      </c>
      <c r="L45" t="s">
        <v>51</v>
      </c>
      <c r="M45">
        <v>49058</v>
      </c>
      <c r="N45" t="s">
        <v>43</v>
      </c>
      <c r="O45">
        <v>4396</v>
      </c>
      <c r="P45" t="s">
        <v>44</v>
      </c>
      <c r="Q45">
        <v>5</v>
      </c>
      <c r="R45">
        <v>1</v>
      </c>
      <c r="S45" t="s">
        <v>44</v>
      </c>
      <c r="T45" t="s">
        <v>69</v>
      </c>
      <c r="U45" t="s">
        <v>44</v>
      </c>
    </row>
    <row r="46" spans="1:21" x14ac:dyDescent="0.3">
      <c r="A46">
        <v>10045</v>
      </c>
      <c r="B46" t="s">
        <v>152</v>
      </c>
      <c r="C46" t="s">
        <v>22</v>
      </c>
      <c r="D46">
        <v>36</v>
      </c>
      <c r="E46" t="s">
        <v>56</v>
      </c>
      <c r="F46" t="s">
        <v>73</v>
      </c>
      <c r="G46" t="s">
        <v>48</v>
      </c>
      <c r="H46" t="s">
        <v>74</v>
      </c>
      <c r="I46" t="s">
        <v>153</v>
      </c>
      <c r="J46" s="1">
        <v>42423</v>
      </c>
      <c r="K46" t="s">
        <v>59</v>
      </c>
      <c r="L46" t="s">
        <v>29</v>
      </c>
      <c r="M46">
        <v>98612</v>
      </c>
      <c r="N46" t="s">
        <v>60</v>
      </c>
      <c r="O46">
        <v>1168</v>
      </c>
      <c r="P46" t="s">
        <v>44</v>
      </c>
      <c r="Q46">
        <v>9</v>
      </c>
      <c r="R46">
        <v>2</v>
      </c>
      <c r="S46" t="s">
        <v>45</v>
      </c>
      <c r="T46" t="s">
        <v>33</v>
      </c>
      <c r="U46" t="s">
        <v>34</v>
      </c>
    </row>
    <row r="47" spans="1:21" x14ac:dyDescent="0.3">
      <c r="A47">
        <v>10046</v>
      </c>
      <c r="B47" t="s">
        <v>154</v>
      </c>
      <c r="C47" t="s">
        <v>36</v>
      </c>
      <c r="D47">
        <v>41</v>
      </c>
      <c r="E47" t="s">
        <v>56</v>
      </c>
      <c r="F47" t="s">
        <v>89</v>
      </c>
      <c r="G47" t="s">
        <v>67</v>
      </c>
      <c r="H47" t="s">
        <v>40</v>
      </c>
      <c r="I47" t="s">
        <v>155</v>
      </c>
      <c r="J47" s="1">
        <v>43238</v>
      </c>
      <c r="K47" t="s">
        <v>95</v>
      </c>
      <c r="L47" t="s">
        <v>42</v>
      </c>
      <c r="M47">
        <v>38201</v>
      </c>
      <c r="N47" t="s">
        <v>60</v>
      </c>
      <c r="O47">
        <v>7111</v>
      </c>
      <c r="P47" t="s">
        <v>31</v>
      </c>
      <c r="Q47">
        <v>8</v>
      </c>
      <c r="R47">
        <v>4</v>
      </c>
      <c r="S47" t="s">
        <v>32</v>
      </c>
      <c r="T47" t="s">
        <v>69</v>
      </c>
      <c r="U47" t="s">
        <v>44</v>
      </c>
    </row>
    <row r="48" spans="1:21" x14ac:dyDescent="0.3">
      <c r="A48">
        <v>10047</v>
      </c>
      <c r="B48" t="s">
        <v>156</v>
      </c>
      <c r="C48" t="s">
        <v>36</v>
      </c>
      <c r="D48">
        <v>25</v>
      </c>
      <c r="E48" t="s">
        <v>23</v>
      </c>
      <c r="F48" t="s">
        <v>24</v>
      </c>
      <c r="G48" t="s">
        <v>48</v>
      </c>
      <c r="H48" t="s">
        <v>49</v>
      </c>
      <c r="I48" t="s">
        <v>157</v>
      </c>
      <c r="J48" s="1">
        <v>45360</v>
      </c>
      <c r="K48" t="s">
        <v>95</v>
      </c>
      <c r="L48" t="s">
        <v>42</v>
      </c>
      <c r="M48">
        <v>92919</v>
      </c>
      <c r="N48" t="s">
        <v>52</v>
      </c>
      <c r="O48">
        <v>9497</v>
      </c>
      <c r="P48" t="s">
        <v>31</v>
      </c>
      <c r="Q48">
        <v>7</v>
      </c>
      <c r="R48">
        <v>2</v>
      </c>
      <c r="S48" t="s">
        <v>44</v>
      </c>
      <c r="T48" t="s">
        <v>69</v>
      </c>
      <c r="U48" t="s">
        <v>54</v>
      </c>
    </row>
    <row r="49" spans="1:21" x14ac:dyDescent="0.3">
      <c r="A49">
        <v>10048</v>
      </c>
      <c r="B49" t="s">
        <v>158</v>
      </c>
      <c r="C49" t="s">
        <v>22</v>
      </c>
      <c r="D49">
        <v>29</v>
      </c>
      <c r="E49" t="s">
        <v>37</v>
      </c>
      <c r="F49" t="s">
        <v>89</v>
      </c>
      <c r="G49" t="s">
        <v>25</v>
      </c>
      <c r="H49" t="s">
        <v>40</v>
      </c>
      <c r="I49" t="s">
        <v>159</v>
      </c>
      <c r="J49" s="1">
        <v>45378</v>
      </c>
      <c r="K49" t="s">
        <v>28</v>
      </c>
      <c r="L49" t="s">
        <v>51</v>
      </c>
      <c r="M49">
        <v>45188</v>
      </c>
      <c r="N49" t="s">
        <v>60</v>
      </c>
      <c r="O49">
        <v>9591</v>
      </c>
      <c r="P49" t="s">
        <v>61</v>
      </c>
      <c r="Q49">
        <v>18</v>
      </c>
      <c r="R49">
        <v>3</v>
      </c>
      <c r="S49" t="s">
        <v>32</v>
      </c>
      <c r="T49" t="s">
        <v>69</v>
      </c>
      <c r="U49" t="s">
        <v>44</v>
      </c>
    </row>
    <row r="50" spans="1:21" x14ac:dyDescent="0.3">
      <c r="A50">
        <v>10049</v>
      </c>
      <c r="B50" t="s">
        <v>160</v>
      </c>
      <c r="C50" t="s">
        <v>22</v>
      </c>
      <c r="D50">
        <v>59</v>
      </c>
      <c r="E50" t="s">
        <v>64</v>
      </c>
      <c r="F50" t="s">
        <v>47</v>
      </c>
      <c r="G50" t="s">
        <v>39</v>
      </c>
      <c r="H50" t="s">
        <v>26</v>
      </c>
      <c r="I50" t="s">
        <v>161</v>
      </c>
      <c r="J50" s="1">
        <v>43822</v>
      </c>
      <c r="K50" t="s">
        <v>28</v>
      </c>
      <c r="L50" t="s">
        <v>42</v>
      </c>
      <c r="M50">
        <v>34927</v>
      </c>
      <c r="N50" t="s">
        <v>52</v>
      </c>
      <c r="O50">
        <v>6996</v>
      </c>
      <c r="P50" t="s">
        <v>61</v>
      </c>
      <c r="Q50">
        <v>16</v>
      </c>
      <c r="R50">
        <v>1</v>
      </c>
      <c r="S50" t="s">
        <v>45</v>
      </c>
      <c r="T50" t="s">
        <v>33</v>
      </c>
      <c r="U50" t="s">
        <v>34</v>
      </c>
    </row>
    <row r="51" spans="1:21" x14ac:dyDescent="0.3">
      <c r="A51">
        <v>10050</v>
      </c>
      <c r="B51" t="s">
        <v>230</v>
      </c>
      <c r="C51" t="s">
        <v>22</v>
      </c>
      <c r="D51">
        <v>27</v>
      </c>
      <c r="E51" t="s">
        <v>37</v>
      </c>
      <c r="F51" t="s">
        <v>24</v>
      </c>
      <c r="G51" t="s">
        <v>48</v>
      </c>
      <c r="H51" t="s">
        <v>57</v>
      </c>
      <c r="I51" t="s">
        <v>162</v>
      </c>
      <c r="J51" s="1">
        <v>42607</v>
      </c>
      <c r="K51" t="s">
        <v>28</v>
      </c>
      <c r="L51" t="s">
        <v>42</v>
      </c>
      <c r="M51">
        <v>33183</v>
      </c>
      <c r="N51" t="s">
        <v>60</v>
      </c>
      <c r="O51">
        <v>1659</v>
      </c>
      <c r="P51" t="s">
        <v>44</v>
      </c>
      <c r="Q51">
        <v>11</v>
      </c>
      <c r="R51">
        <v>1</v>
      </c>
      <c r="S51" t="s">
        <v>32</v>
      </c>
      <c r="T51" t="s">
        <v>62</v>
      </c>
      <c r="U51" t="s">
        <v>44</v>
      </c>
    </row>
    <row r="52" spans="1:21" x14ac:dyDescent="0.3">
      <c r="A52">
        <v>10051</v>
      </c>
      <c r="B52" t="s">
        <v>163</v>
      </c>
      <c r="C52" t="s">
        <v>22</v>
      </c>
      <c r="D52">
        <v>58</v>
      </c>
      <c r="E52" t="s">
        <v>64</v>
      </c>
      <c r="F52" t="s">
        <v>38</v>
      </c>
      <c r="G52" t="s">
        <v>48</v>
      </c>
      <c r="H52" t="s">
        <v>74</v>
      </c>
      <c r="I52" t="s">
        <v>164</v>
      </c>
      <c r="J52" s="1">
        <v>44346</v>
      </c>
      <c r="K52" t="s">
        <v>95</v>
      </c>
      <c r="L52" t="s">
        <v>29</v>
      </c>
      <c r="M52">
        <v>69488</v>
      </c>
      <c r="N52" t="s">
        <v>52</v>
      </c>
      <c r="O52">
        <v>8580</v>
      </c>
      <c r="P52" t="s">
        <v>61</v>
      </c>
      <c r="Q52">
        <v>17</v>
      </c>
      <c r="R52">
        <v>4</v>
      </c>
      <c r="S52" t="s">
        <v>45</v>
      </c>
      <c r="T52" t="s">
        <v>69</v>
      </c>
      <c r="U52" t="s">
        <v>54</v>
      </c>
    </row>
    <row r="53" spans="1:21" x14ac:dyDescent="0.3">
      <c r="A53">
        <v>10052</v>
      </c>
      <c r="B53" t="s">
        <v>165</v>
      </c>
      <c r="C53" t="s">
        <v>22</v>
      </c>
      <c r="D53">
        <v>30</v>
      </c>
      <c r="E53" t="s">
        <v>37</v>
      </c>
      <c r="F53" t="s">
        <v>73</v>
      </c>
      <c r="G53" t="s">
        <v>25</v>
      </c>
      <c r="H53" t="s">
        <v>49</v>
      </c>
      <c r="I53" t="s">
        <v>164</v>
      </c>
      <c r="J53" s="1">
        <v>42759</v>
      </c>
      <c r="K53" t="s">
        <v>28</v>
      </c>
      <c r="L53" t="s">
        <v>29</v>
      </c>
      <c r="M53">
        <v>91851</v>
      </c>
      <c r="N53" t="s">
        <v>60</v>
      </c>
      <c r="O53">
        <v>2168</v>
      </c>
      <c r="P53" t="s">
        <v>44</v>
      </c>
      <c r="Q53">
        <v>18</v>
      </c>
      <c r="R53">
        <v>5</v>
      </c>
      <c r="S53" t="s">
        <v>45</v>
      </c>
      <c r="T53" t="s">
        <v>53</v>
      </c>
      <c r="U53" t="s">
        <v>34</v>
      </c>
    </row>
    <row r="54" spans="1:21" x14ac:dyDescent="0.3">
      <c r="A54">
        <v>10053</v>
      </c>
      <c r="B54" t="s">
        <v>166</v>
      </c>
      <c r="C54" t="s">
        <v>22</v>
      </c>
      <c r="D54">
        <v>48</v>
      </c>
      <c r="E54" t="s">
        <v>86</v>
      </c>
      <c r="F54" t="s">
        <v>73</v>
      </c>
      <c r="G54" t="s">
        <v>48</v>
      </c>
      <c r="H54" t="s">
        <v>40</v>
      </c>
      <c r="I54" t="s">
        <v>167</v>
      </c>
      <c r="J54" s="1">
        <v>44268</v>
      </c>
      <c r="K54" t="s">
        <v>28</v>
      </c>
      <c r="L54" t="s">
        <v>51</v>
      </c>
      <c r="M54">
        <v>51460</v>
      </c>
      <c r="N54" t="s">
        <v>30</v>
      </c>
      <c r="O54">
        <v>8859</v>
      </c>
      <c r="P54" t="s">
        <v>31</v>
      </c>
      <c r="Q54">
        <v>7</v>
      </c>
      <c r="R54">
        <v>4</v>
      </c>
      <c r="S54" t="s">
        <v>45</v>
      </c>
      <c r="T54" t="s">
        <v>53</v>
      </c>
      <c r="U54" t="s">
        <v>54</v>
      </c>
    </row>
    <row r="55" spans="1:21" x14ac:dyDescent="0.3">
      <c r="A55">
        <v>10054</v>
      </c>
      <c r="B55" t="s">
        <v>168</v>
      </c>
      <c r="C55" t="s">
        <v>36</v>
      </c>
      <c r="D55">
        <v>39</v>
      </c>
      <c r="E55" t="s">
        <v>56</v>
      </c>
      <c r="F55" t="s">
        <v>89</v>
      </c>
      <c r="G55" t="s">
        <v>48</v>
      </c>
      <c r="H55" t="s">
        <v>49</v>
      </c>
      <c r="I55" t="s">
        <v>169</v>
      </c>
      <c r="J55" s="1">
        <v>42949</v>
      </c>
      <c r="K55" t="s">
        <v>28</v>
      </c>
      <c r="L55" t="s">
        <v>42</v>
      </c>
      <c r="M55">
        <v>84341</v>
      </c>
      <c r="N55" t="s">
        <v>43</v>
      </c>
      <c r="O55">
        <v>3800</v>
      </c>
      <c r="P55" t="s">
        <v>61</v>
      </c>
      <c r="Q55">
        <v>3</v>
      </c>
      <c r="R55">
        <v>5</v>
      </c>
      <c r="S55" t="s">
        <v>32</v>
      </c>
      <c r="T55" t="s">
        <v>84</v>
      </c>
      <c r="U55" t="s">
        <v>34</v>
      </c>
    </row>
    <row r="56" spans="1:21" x14ac:dyDescent="0.3">
      <c r="A56">
        <v>10055</v>
      </c>
      <c r="B56" t="s">
        <v>170</v>
      </c>
      <c r="C56" t="s">
        <v>22</v>
      </c>
      <c r="D56">
        <v>33</v>
      </c>
      <c r="E56" t="s">
        <v>37</v>
      </c>
      <c r="F56" t="s">
        <v>89</v>
      </c>
      <c r="G56" t="s">
        <v>39</v>
      </c>
      <c r="H56" t="s">
        <v>57</v>
      </c>
      <c r="I56" t="s">
        <v>169</v>
      </c>
      <c r="J56" s="1">
        <v>42839</v>
      </c>
      <c r="K56" t="s">
        <v>28</v>
      </c>
      <c r="L56" t="s">
        <v>51</v>
      </c>
      <c r="M56">
        <v>77360</v>
      </c>
      <c r="N56" t="s">
        <v>43</v>
      </c>
      <c r="O56">
        <v>2665</v>
      </c>
      <c r="P56" t="s">
        <v>31</v>
      </c>
      <c r="Q56">
        <v>5</v>
      </c>
      <c r="R56">
        <v>3</v>
      </c>
      <c r="S56" t="s">
        <v>44</v>
      </c>
      <c r="T56" t="s">
        <v>62</v>
      </c>
      <c r="U56" t="s">
        <v>44</v>
      </c>
    </row>
    <row r="57" spans="1:21" x14ac:dyDescent="0.3">
      <c r="A57">
        <v>10056</v>
      </c>
      <c r="B57" t="s">
        <v>171</v>
      </c>
      <c r="C57" t="s">
        <v>36</v>
      </c>
      <c r="D57">
        <v>49</v>
      </c>
      <c r="E57" t="s">
        <v>86</v>
      </c>
      <c r="F57" t="s">
        <v>89</v>
      </c>
      <c r="G57" t="s">
        <v>102</v>
      </c>
      <c r="H57" t="s">
        <v>49</v>
      </c>
      <c r="I57" t="s">
        <v>169</v>
      </c>
      <c r="J57" s="1">
        <v>44872</v>
      </c>
      <c r="K57" t="s">
        <v>59</v>
      </c>
      <c r="L57" t="s">
        <v>42</v>
      </c>
      <c r="M57">
        <v>72691</v>
      </c>
      <c r="N57" t="s">
        <v>30</v>
      </c>
      <c r="O57">
        <v>7797</v>
      </c>
      <c r="P57" t="s">
        <v>61</v>
      </c>
      <c r="Q57">
        <v>12</v>
      </c>
      <c r="R57">
        <v>5</v>
      </c>
      <c r="S57" t="s">
        <v>45</v>
      </c>
      <c r="T57" t="s">
        <v>33</v>
      </c>
      <c r="U57" t="s">
        <v>34</v>
      </c>
    </row>
    <row r="58" spans="1:21" x14ac:dyDescent="0.3">
      <c r="A58">
        <v>10057</v>
      </c>
      <c r="B58" t="s">
        <v>172</v>
      </c>
      <c r="C58" t="s">
        <v>22</v>
      </c>
      <c r="D58">
        <v>43</v>
      </c>
      <c r="E58" t="s">
        <v>56</v>
      </c>
      <c r="F58" t="s">
        <v>89</v>
      </c>
      <c r="G58" t="s">
        <v>48</v>
      </c>
      <c r="H58" t="s">
        <v>40</v>
      </c>
      <c r="I58" t="s">
        <v>173</v>
      </c>
      <c r="J58" s="1">
        <v>45682</v>
      </c>
      <c r="K58" t="s">
        <v>59</v>
      </c>
      <c r="L58" t="s">
        <v>51</v>
      </c>
      <c r="M58">
        <v>74746</v>
      </c>
      <c r="N58" t="s">
        <v>52</v>
      </c>
      <c r="O58">
        <v>4644</v>
      </c>
      <c r="P58" t="s">
        <v>44</v>
      </c>
      <c r="Q58">
        <v>16</v>
      </c>
      <c r="R58">
        <v>3</v>
      </c>
      <c r="S58" t="s">
        <v>32</v>
      </c>
      <c r="T58" t="s">
        <v>33</v>
      </c>
      <c r="U58" t="s">
        <v>44</v>
      </c>
    </row>
    <row r="59" spans="1:21" x14ac:dyDescent="0.3">
      <c r="A59">
        <v>10058</v>
      </c>
      <c r="B59" t="s">
        <v>174</v>
      </c>
      <c r="C59" t="s">
        <v>36</v>
      </c>
      <c r="D59">
        <v>29</v>
      </c>
      <c r="E59" t="s">
        <v>37</v>
      </c>
      <c r="F59" t="s">
        <v>73</v>
      </c>
      <c r="G59" t="s">
        <v>39</v>
      </c>
      <c r="H59" t="s">
        <v>49</v>
      </c>
      <c r="I59" t="s">
        <v>175</v>
      </c>
      <c r="J59" s="1">
        <v>42569</v>
      </c>
      <c r="K59" t="s">
        <v>95</v>
      </c>
      <c r="L59" t="s">
        <v>51</v>
      </c>
      <c r="M59">
        <v>95491</v>
      </c>
      <c r="N59" t="s">
        <v>60</v>
      </c>
      <c r="O59">
        <v>8819</v>
      </c>
      <c r="P59" t="s">
        <v>61</v>
      </c>
      <c r="Q59">
        <v>0</v>
      </c>
      <c r="R59">
        <v>5</v>
      </c>
      <c r="S59" t="s">
        <v>44</v>
      </c>
      <c r="T59" t="s">
        <v>62</v>
      </c>
      <c r="U59" t="s">
        <v>44</v>
      </c>
    </row>
    <row r="60" spans="1:21" x14ac:dyDescent="0.3">
      <c r="A60">
        <v>10059</v>
      </c>
      <c r="B60" t="s">
        <v>176</v>
      </c>
      <c r="C60" t="s">
        <v>22</v>
      </c>
      <c r="D60">
        <v>60</v>
      </c>
      <c r="E60" t="s">
        <v>64</v>
      </c>
      <c r="F60" t="s">
        <v>24</v>
      </c>
      <c r="G60" t="s">
        <v>25</v>
      </c>
      <c r="H60" t="s">
        <v>26</v>
      </c>
      <c r="I60" t="s">
        <v>173</v>
      </c>
      <c r="J60" s="1">
        <v>43960</v>
      </c>
      <c r="K60" t="s">
        <v>28</v>
      </c>
      <c r="L60" t="s">
        <v>42</v>
      </c>
      <c r="M60">
        <v>95671</v>
      </c>
      <c r="N60" t="s">
        <v>52</v>
      </c>
      <c r="O60">
        <v>2643</v>
      </c>
      <c r="P60" t="s">
        <v>61</v>
      </c>
      <c r="Q60">
        <v>18</v>
      </c>
      <c r="R60">
        <v>1</v>
      </c>
      <c r="S60" t="s">
        <v>44</v>
      </c>
      <c r="T60" t="s">
        <v>62</v>
      </c>
      <c r="U60" t="s">
        <v>44</v>
      </c>
    </row>
    <row r="61" spans="1:21" x14ac:dyDescent="0.3">
      <c r="A61">
        <v>10060</v>
      </c>
      <c r="B61" t="s">
        <v>177</v>
      </c>
      <c r="C61" t="s">
        <v>22</v>
      </c>
      <c r="D61">
        <v>42</v>
      </c>
      <c r="E61" t="s">
        <v>56</v>
      </c>
      <c r="F61" t="s">
        <v>24</v>
      </c>
      <c r="G61" t="s">
        <v>48</v>
      </c>
      <c r="H61" t="s">
        <v>49</v>
      </c>
      <c r="I61" t="s">
        <v>175</v>
      </c>
      <c r="J61" s="1">
        <v>44748</v>
      </c>
      <c r="K61" t="s">
        <v>28</v>
      </c>
      <c r="L61" t="s">
        <v>42</v>
      </c>
      <c r="M61">
        <v>40925</v>
      </c>
      <c r="N61" t="s">
        <v>30</v>
      </c>
      <c r="O61">
        <v>4223</v>
      </c>
      <c r="P61" t="s">
        <v>44</v>
      </c>
      <c r="Q61">
        <v>16</v>
      </c>
      <c r="R61">
        <v>5</v>
      </c>
      <c r="S61" t="s">
        <v>45</v>
      </c>
      <c r="T61" t="s">
        <v>62</v>
      </c>
      <c r="U61" t="s">
        <v>54</v>
      </c>
    </row>
    <row r="62" spans="1:21" x14ac:dyDescent="0.3">
      <c r="A62">
        <v>10061</v>
      </c>
      <c r="B62" t="s">
        <v>178</v>
      </c>
      <c r="C62" t="s">
        <v>22</v>
      </c>
      <c r="D62">
        <v>36</v>
      </c>
      <c r="E62" t="s">
        <v>56</v>
      </c>
      <c r="F62" t="s">
        <v>73</v>
      </c>
      <c r="G62" t="s">
        <v>39</v>
      </c>
      <c r="H62" t="s">
        <v>40</v>
      </c>
      <c r="I62" t="s">
        <v>173</v>
      </c>
      <c r="J62" s="1">
        <v>43867</v>
      </c>
      <c r="K62" t="s">
        <v>59</v>
      </c>
      <c r="L62" t="s">
        <v>42</v>
      </c>
      <c r="M62">
        <v>64593</v>
      </c>
      <c r="N62" t="s">
        <v>30</v>
      </c>
      <c r="O62">
        <v>6492</v>
      </c>
      <c r="P62" t="s">
        <v>44</v>
      </c>
      <c r="Q62">
        <v>2</v>
      </c>
      <c r="R62">
        <v>3</v>
      </c>
      <c r="S62" t="s">
        <v>44</v>
      </c>
      <c r="T62" t="s">
        <v>33</v>
      </c>
      <c r="U62" t="s">
        <v>34</v>
      </c>
    </row>
    <row r="63" spans="1:21" x14ac:dyDescent="0.3">
      <c r="A63">
        <v>10062</v>
      </c>
      <c r="B63" t="s">
        <v>179</v>
      </c>
      <c r="C63" t="s">
        <v>36</v>
      </c>
      <c r="D63">
        <v>33</v>
      </c>
      <c r="E63" t="s">
        <v>37</v>
      </c>
      <c r="F63" t="s">
        <v>24</v>
      </c>
      <c r="G63" t="s">
        <v>102</v>
      </c>
      <c r="H63" t="s">
        <v>26</v>
      </c>
      <c r="I63" t="s">
        <v>173</v>
      </c>
      <c r="J63" s="1">
        <v>45616</v>
      </c>
      <c r="K63" t="s">
        <v>59</v>
      </c>
      <c r="L63" t="s">
        <v>51</v>
      </c>
      <c r="M63">
        <v>44149</v>
      </c>
      <c r="N63" t="s">
        <v>30</v>
      </c>
      <c r="O63">
        <v>7407</v>
      </c>
      <c r="P63" t="s">
        <v>31</v>
      </c>
      <c r="Q63">
        <v>17</v>
      </c>
      <c r="R63">
        <v>3</v>
      </c>
      <c r="S63" t="s">
        <v>44</v>
      </c>
      <c r="T63" t="s">
        <v>84</v>
      </c>
      <c r="U63" t="s">
        <v>44</v>
      </c>
    </row>
    <row r="64" spans="1:21" x14ac:dyDescent="0.3">
      <c r="A64">
        <v>10063</v>
      </c>
      <c r="B64" t="s">
        <v>180</v>
      </c>
      <c r="C64" t="s">
        <v>22</v>
      </c>
      <c r="D64">
        <v>31</v>
      </c>
      <c r="E64" t="s">
        <v>37</v>
      </c>
      <c r="F64" t="s">
        <v>24</v>
      </c>
      <c r="G64" t="s">
        <v>102</v>
      </c>
      <c r="H64" t="s">
        <v>26</v>
      </c>
      <c r="I64" t="s">
        <v>175</v>
      </c>
      <c r="J64" s="1">
        <v>42273</v>
      </c>
      <c r="K64" t="s">
        <v>28</v>
      </c>
      <c r="L64" t="s">
        <v>29</v>
      </c>
      <c r="M64">
        <v>52519</v>
      </c>
      <c r="N64" t="s">
        <v>30</v>
      </c>
      <c r="O64">
        <v>2677</v>
      </c>
      <c r="P64" t="s">
        <v>31</v>
      </c>
      <c r="Q64">
        <v>14</v>
      </c>
      <c r="R64">
        <v>1</v>
      </c>
      <c r="S64" t="s">
        <v>45</v>
      </c>
      <c r="T64" t="s">
        <v>69</v>
      </c>
      <c r="U64" t="s">
        <v>44</v>
      </c>
    </row>
    <row r="65" spans="1:21" x14ac:dyDescent="0.3">
      <c r="A65">
        <v>10064</v>
      </c>
      <c r="B65" t="s">
        <v>181</v>
      </c>
      <c r="C65" t="s">
        <v>36</v>
      </c>
      <c r="D65">
        <v>45</v>
      </c>
      <c r="E65" t="s">
        <v>56</v>
      </c>
      <c r="F65" t="s">
        <v>24</v>
      </c>
      <c r="G65" t="s">
        <v>67</v>
      </c>
      <c r="H65" t="s">
        <v>49</v>
      </c>
      <c r="I65" t="s">
        <v>164</v>
      </c>
      <c r="J65" s="1">
        <v>44607</v>
      </c>
      <c r="K65" t="s">
        <v>59</v>
      </c>
      <c r="L65" t="s">
        <v>29</v>
      </c>
      <c r="M65">
        <v>95503</v>
      </c>
      <c r="N65" t="s">
        <v>52</v>
      </c>
      <c r="O65">
        <v>6862</v>
      </c>
      <c r="P65" t="s">
        <v>31</v>
      </c>
      <c r="Q65">
        <v>5</v>
      </c>
      <c r="R65">
        <v>2</v>
      </c>
      <c r="S65" t="s">
        <v>45</v>
      </c>
      <c r="T65" t="s">
        <v>69</v>
      </c>
      <c r="U65" t="s">
        <v>44</v>
      </c>
    </row>
    <row r="66" spans="1:21" x14ac:dyDescent="0.3">
      <c r="A66">
        <v>10065</v>
      </c>
      <c r="B66" t="s">
        <v>165</v>
      </c>
      <c r="C66" t="s">
        <v>36</v>
      </c>
      <c r="D66">
        <v>21</v>
      </c>
      <c r="E66" t="s">
        <v>23</v>
      </c>
      <c r="F66" t="s">
        <v>38</v>
      </c>
      <c r="G66" t="s">
        <v>39</v>
      </c>
      <c r="H66" t="s">
        <v>57</v>
      </c>
      <c r="I66" t="s">
        <v>175</v>
      </c>
      <c r="J66" s="1">
        <v>43945</v>
      </c>
      <c r="K66" t="s">
        <v>59</v>
      </c>
      <c r="L66" t="s">
        <v>42</v>
      </c>
      <c r="M66">
        <v>74633</v>
      </c>
      <c r="N66" t="s">
        <v>30</v>
      </c>
      <c r="O66">
        <v>4970</v>
      </c>
      <c r="P66" t="s">
        <v>61</v>
      </c>
      <c r="Q66">
        <v>14</v>
      </c>
      <c r="R66">
        <v>4</v>
      </c>
      <c r="S66" t="s">
        <v>44</v>
      </c>
      <c r="T66" t="s">
        <v>33</v>
      </c>
      <c r="U66" t="s">
        <v>44</v>
      </c>
    </row>
    <row r="67" spans="1:21" x14ac:dyDescent="0.3">
      <c r="A67">
        <v>10066</v>
      </c>
      <c r="B67" t="s">
        <v>182</v>
      </c>
      <c r="C67" t="s">
        <v>36</v>
      </c>
      <c r="D67">
        <v>25</v>
      </c>
      <c r="E67" t="s">
        <v>23</v>
      </c>
      <c r="F67" t="s">
        <v>73</v>
      </c>
      <c r="G67" t="s">
        <v>39</v>
      </c>
      <c r="H67" t="s">
        <v>49</v>
      </c>
      <c r="I67" t="s">
        <v>173</v>
      </c>
      <c r="J67" s="1">
        <v>44282</v>
      </c>
      <c r="K67" t="s">
        <v>95</v>
      </c>
      <c r="L67" t="s">
        <v>29</v>
      </c>
      <c r="M67">
        <v>45687</v>
      </c>
      <c r="N67" t="s">
        <v>30</v>
      </c>
      <c r="O67">
        <v>9351</v>
      </c>
      <c r="P67" t="s">
        <v>31</v>
      </c>
      <c r="Q67">
        <v>4</v>
      </c>
      <c r="R67">
        <v>4</v>
      </c>
      <c r="S67" t="s">
        <v>44</v>
      </c>
      <c r="T67" t="s">
        <v>84</v>
      </c>
      <c r="U67" t="s">
        <v>34</v>
      </c>
    </row>
    <row r="68" spans="1:21" x14ac:dyDescent="0.3">
      <c r="A68">
        <v>10067</v>
      </c>
      <c r="B68" t="s">
        <v>174</v>
      </c>
      <c r="C68" t="s">
        <v>36</v>
      </c>
      <c r="D68">
        <v>21</v>
      </c>
      <c r="E68" t="s">
        <v>23</v>
      </c>
      <c r="F68" t="s">
        <v>89</v>
      </c>
      <c r="G68" t="s">
        <v>67</v>
      </c>
      <c r="H68" t="s">
        <v>40</v>
      </c>
      <c r="I68" t="s">
        <v>173</v>
      </c>
      <c r="J68" s="1">
        <v>43547</v>
      </c>
      <c r="K68" t="s">
        <v>28</v>
      </c>
      <c r="L68" t="s">
        <v>51</v>
      </c>
      <c r="M68">
        <v>38728</v>
      </c>
      <c r="N68" t="s">
        <v>60</v>
      </c>
      <c r="O68">
        <v>2444</v>
      </c>
      <c r="P68" t="s">
        <v>31</v>
      </c>
      <c r="Q68">
        <v>2</v>
      </c>
      <c r="R68">
        <v>2</v>
      </c>
      <c r="S68" t="s">
        <v>32</v>
      </c>
      <c r="T68" t="s">
        <v>53</v>
      </c>
      <c r="U68" t="s">
        <v>44</v>
      </c>
    </row>
    <row r="69" spans="1:21" x14ac:dyDescent="0.3">
      <c r="A69">
        <v>10068</v>
      </c>
      <c r="B69" t="s">
        <v>183</v>
      </c>
      <c r="C69" t="s">
        <v>22</v>
      </c>
      <c r="D69">
        <v>52</v>
      </c>
      <c r="E69" t="s">
        <v>86</v>
      </c>
      <c r="F69" t="s">
        <v>38</v>
      </c>
      <c r="G69" t="s">
        <v>67</v>
      </c>
      <c r="H69" t="s">
        <v>74</v>
      </c>
      <c r="I69" t="s">
        <v>164</v>
      </c>
      <c r="J69" s="1">
        <v>42431</v>
      </c>
      <c r="K69" t="s">
        <v>59</v>
      </c>
      <c r="L69" t="s">
        <v>29</v>
      </c>
      <c r="M69">
        <v>52630</v>
      </c>
      <c r="N69" t="s">
        <v>43</v>
      </c>
      <c r="O69">
        <v>4861</v>
      </c>
      <c r="P69" t="s">
        <v>61</v>
      </c>
      <c r="Q69">
        <v>18</v>
      </c>
      <c r="R69">
        <v>3</v>
      </c>
      <c r="S69" t="s">
        <v>32</v>
      </c>
      <c r="T69" t="s">
        <v>84</v>
      </c>
      <c r="U69" t="s">
        <v>44</v>
      </c>
    </row>
    <row r="70" spans="1:21" x14ac:dyDescent="0.3">
      <c r="A70">
        <v>10069</v>
      </c>
      <c r="B70" t="s">
        <v>184</v>
      </c>
      <c r="C70" t="s">
        <v>22</v>
      </c>
      <c r="D70">
        <v>59</v>
      </c>
      <c r="E70" t="s">
        <v>64</v>
      </c>
      <c r="F70" t="s">
        <v>73</v>
      </c>
      <c r="G70" t="s">
        <v>67</v>
      </c>
      <c r="H70" t="s">
        <v>40</v>
      </c>
      <c r="I70" t="s">
        <v>173</v>
      </c>
      <c r="J70" s="1">
        <v>44046</v>
      </c>
      <c r="K70" t="s">
        <v>95</v>
      </c>
      <c r="L70" t="s">
        <v>42</v>
      </c>
      <c r="M70">
        <v>43990</v>
      </c>
      <c r="N70" t="s">
        <v>60</v>
      </c>
      <c r="O70">
        <v>6110</v>
      </c>
      <c r="P70" t="s">
        <v>31</v>
      </c>
      <c r="Q70">
        <v>6</v>
      </c>
      <c r="R70">
        <v>5</v>
      </c>
      <c r="S70" t="s">
        <v>45</v>
      </c>
      <c r="T70" t="s">
        <v>53</v>
      </c>
      <c r="U70" t="s">
        <v>54</v>
      </c>
    </row>
    <row r="71" spans="1:21" x14ac:dyDescent="0.3">
      <c r="A71">
        <v>10070</v>
      </c>
      <c r="B71" t="s">
        <v>185</v>
      </c>
      <c r="C71" t="s">
        <v>36</v>
      </c>
      <c r="D71">
        <v>40</v>
      </c>
      <c r="E71" t="s">
        <v>56</v>
      </c>
      <c r="F71" t="s">
        <v>73</v>
      </c>
      <c r="G71" t="s">
        <v>102</v>
      </c>
      <c r="H71" t="s">
        <v>49</v>
      </c>
      <c r="I71" t="s">
        <v>186</v>
      </c>
      <c r="J71" s="1">
        <v>45814</v>
      </c>
      <c r="K71" t="s">
        <v>59</v>
      </c>
      <c r="L71" t="s">
        <v>29</v>
      </c>
      <c r="M71">
        <v>94985</v>
      </c>
      <c r="N71" t="s">
        <v>60</v>
      </c>
      <c r="O71">
        <v>1488</v>
      </c>
      <c r="P71" t="s">
        <v>44</v>
      </c>
      <c r="Q71">
        <v>19</v>
      </c>
      <c r="R71">
        <v>4</v>
      </c>
      <c r="S71" t="s">
        <v>32</v>
      </c>
      <c r="T71" t="s">
        <v>69</v>
      </c>
      <c r="U71" t="s">
        <v>54</v>
      </c>
    </row>
    <row r="72" spans="1:21" x14ac:dyDescent="0.3">
      <c r="A72">
        <v>10071</v>
      </c>
      <c r="B72" t="s">
        <v>187</v>
      </c>
      <c r="C72" t="s">
        <v>36</v>
      </c>
      <c r="D72">
        <v>50</v>
      </c>
      <c r="E72" t="s">
        <v>86</v>
      </c>
      <c r="F72" t="s">
        <v>38</v>
      </c>
      <c r="G72" t="s">
        <v>48</v>
      </c>
      <c r="H72" t="s">
        <v>49</v>
      </c>
      <c r="I72" t="s">
        <v>173</v>
      </c>
      <c r="J72" s="1">
        <v>44505</v>
      </c>
      <c r="K72" t="s">
        <v>59</v>
      </c>
      <c r="L72" t="s">
        <v>42</v>
      </c>
      <c r="M72">
        <v>65838</v>
      </c>
      <c r="N72" t="s">
        <v>43</v>
      </c>
      <c r="O72">
        <v>9661</v>
      </c>
      <c r="P72" t="s">
        <v>44</v>
      </c>
      <c r="Q72">
        <v>10</v>
      </c>
      <c r="R72">
        <v>1</v>
      </c>
      <c r="S72" t="s">
        <v>44</v>
      </c>
      <c r="T72" t="s">
        <v>84</v>
      </c>
      <c r="U72" t="s">
        <v>54</v>
      </c>
    </row>
    <row r="73" spans="1:21" x14ac:dyDescent="0.3">
      <c r="A73">
        <v>10072</v>
      </c>
      <c r="B73" t="s">
        <v>188</v>
      </c>
      <c r="C73" t="s">
        <v>22</v>
      </c>
      <c r="D73">
        <v>25</v>
      </c>
      <c r="E73" t="s">
        <v>23</v>
      </c>
      <c r="F73" t="s">
        <v>89</v>
      </c>
      <c r="G73" t="s">
        <v>25</v>
      </c>
      <c r="H73" t="s">
        <v>26</v>
      </c>
      <c r="I73" t="s">
        <v>186</v>
      </c>
      <c r="J73" s="1">
        <v>42246</v>
      </c>
      <c r="K73" t="s">
        <v>95</v>
      </c>
      <c r="L73" t="s">
        <v>51</v>
      </c>
      <c r="M73">
        <v>55313</v>
      </c>
      <c r="N73" t="s">
        <v>52</v>
      </c>
      <c r="O73">
        <v>2421</v>
      </c>
      <c r="P73" t="s">
        <v>44</v>
      </c>
      <c r="Q73">
        <v>18</v>
      </c>
      <c r="R73">
        <v>3</v>
      </c>
      <c r="S73" t="s">
        <v>32</v>
      </c>
      <c r="T73" t="s">
        <v>69</v>
      </c>
      <c r="U73" t="s">
        <v>44</v>
      </c>
    </row>
    <row r="74" spans="1:21" x14ac:dyDescent="0.3">
      <c r="A74">
        <v>10073</v>
      </c>
      <c r="B74" t="s">
        <v>189</v>
      </c>
      <c r="C74" t="s">
        <v>22</v>
      </c>
      <c r="D74">
        <v>42</v>
      </c>
      <c r="E74" t="s">
        <v>56</v>
      </c>
      <c r="F74" t="s">
        <v>89</v>
      </c>
      <c r="G74" t="s">
        <v>102</v>
      </c>
      <c r="H74" t="s">
        <v>49</v>
      </c>
      <c r="I74" t="s">
        <v>186</v>
      </c>
      <c r="J74" s="1">
        <v>44141</v>
      </c>
      <c r="K74" t="s">
        <v>59</v>
      </c>
      <c r="L74" t="s">
        <v>42</v>
      </c>
      <c r="M74">
        <v>44964</v>
      </c>
      <c r="N74" t="s">
        <v>43</v>
      </c>
      <c r="O74">
        <v>6062</v>
      </c>
      <c r="P74" t="s">
        <v>44</v>
      </c>
      <c r="Q74">
        <v>18</v>
      </c>
      <c r="R74">
        <v>3</v>
      </c>
      <c r="S74" t="s">
        <v>45</v>
      </c>
      <c r="T74" t="s">
        <v>33</v>
      </c>
      <c r="U74" t="s">
        <v>34</v>
      </c>
    </row>
    <row r="75" spans="1:21" x14ac:dyDescent="0.3">
      <c r="A75">
        <v>10074</v>
      </c>
      <c r="B75" t="s">
        <v>190</v>
      </c>
      <c r="C75" t="s">
        <v>36</v>
      </c>
      <c r="D75">
        <v>60</v>
      </c>
      <c r="E75" t="s">
        <v>64</v>
      </c>
      <c r="F75" t="s">
        <v>24</v>
      </c>
      <c r="G75" t="s">
        <v>102</v>
      </c>
      <c r="H75" t="s">
        <v>74</v>
      </c>
      <c r="I75" t="s">
        <v>167</v>
      </c>
      <c r="J75" s="1">
        <v>45821</v>
      </c>
      <c r="K75" t="s">
        <v>28</v>
      </c>
      <c r="L75" t="s">
        <v>42</v>
      </c>
      <c r="M75">
        <v>32801</v>
      </c>
      <c r="N75" t="s">
        <v>43</v>
      </c>
      <c r="O75">
        <v>7841</v>
      </c>
      <c r="P75" t="s">
        <v>61</v>
      </c>
      <c r="Q75">
        <v>19</v>
      </c>
      <c r="R75">
        <v>4</v>
      </c>
      <c r="S75" t="s">
        <v>44</v>
      </c>
      <c r="T75" t="s">
        <v>62</v>
      </c>
      <c r="U75" t="s">
        <v>44</v>
      </c>
    </row>
    <row r="76" spans="1:21" x14ac:dyDescent="0.3">
      <c r="A76">
        <v>10075</v>
      </c>
      <c r="B76" t="s">
        <v>191</v>
      </c>
      <c r="C76" t="s">
        <v>36</v>
      </c>
      <c r="D76">
        <v>59</v>
      </c>
      <c r="E76" t="s">
        <v>64</v>
      </c>
      <c r="F76" t="s">
        <v>38</v>
      </c>
      <c r="G76" t="s">
        <v>102</v>
      </c>
      <c r="H76" t="s">
        <v>40</v>
      </c>
      <c r="I76" t="s">
        <v>164</v>
      </c>
      <c r="J76" s="1">
        <v>45748</v>
      </c>
      <c r="K76" t="s">
        <v>28</v>
      </c>
      <c r="L76" t="s">
        <v>29</v>
      </c>
      <c r="M76">
        <v>91316</v>
      </c>
      <c r="N76" t="s">
        <v>30</v>
      </c>
      <c r="O76">
        <v>9911</v>
      </c>
      <c r="P76" t="s">
        <v>31</v>
      </c>
      <c r="Q76">
        <v>14</v>
      </c>
      <c r="R76">
        <v>3</v>
      </c>
      <c r="S76" t="s">
        <v>45</v>
      </c>
      <c r="T76" t="s">
        <v>62</v>
      </c>
      <c r="U76" t="s">
        <v>34</v>
      </c>
    </row>
    <row r="77" spans="1:21" x14ac:dyDescent="0.3">
      <c r="A77">
        <v>10076</v>
      </c>
      <c r="B77" t="s">
        <v>192</v>
      </c>
      <c r="C77" t="s">
        <v>22</v>
      </c>
      <c r="D77">
        <v>58</v>
      </c>
      <c r="E77" t="s">
        <v>64</v>
      </c>
      <c r="F77" t="s">
        <v>47</v>
      </c>
      <c r="G77" t="s">
        <v>102</v>
      </c>
      <c r="H77" t="s">
        <v>40</v>
      </c>
      <c r="I77" t="s">
        <v>173</v>
      </c>
      <c r="J77" s="1">
        <v>42655</v>
      </c>
      <c r="K77" t="s">
        <v>95</v>
      </c>
      <c r="L77" t="s">
        <v>42</v>
      </c>
      <c r="M77">
        <v>39073</v>
      </c>
      <c r="N77" t="s">
        <v>52</v>
      </c>
      <c r="O77">
        <v>6895</v>
      </c>
      <c r="P77" t="s">
        <v>44</v>
      </c>
      <c r="Q77">
        <v>8</v>
      </c>
      <c r="R77">
        <v>1</v>
      </c>
      <c r="S77" t="s">
        <v>44</v>
      </c>
      <c r="T77" t="s">
        <v>69</v>
      </c>
      <c r="U77" t="s">
        <v>54</v>
      </c>
    </row>
    <row r="78" spans="1:21" x14ac:dyDescent="0.3">
      <c r="A78">
        <v>10077</v>
      </c>
      <c r="B78" t="s">
        <v>193</v>
      </c>
      <c r="C78" t="s">
        <v>22</v>
      </c>
      <c r="D78">
        <v>49</v>
      </c>
      <c r="E78" t="s">
        <v>86</v>
      </c>
      <c r="F78" t="s">
        <v>24</v>
      </c>
      <c r="G78" t="s">
        <v>25</v>
      </c>
      <c r="H78" t="s">
        <v>26</v>
      </c>
      <c r="I78" t="s">
        <v>186</v>
      </c>
      <c r="J78" s="1">
        <v>43315</v>
      </c>
      <c r="K78" t="s">
        <v>59</v>
      </c>
      <c r="L78" t="s">
        <v>42</v>
      </c>
      <c r="M78">
        <v>65508</v>
      </c>
      <c r="N78" t="s">
        <v>30</v>
      </c>
      <c r="O78">
        <v>1012</v>
      </c>
      <c r="P78" t="s">
        <v>44</v>
      </c>
      <c r="Q78">
        <v>13</v>
      </c>
      <c r="R78">
        <v>5</v>
      </c>
      <c r="S78" t="s">
        <v>44</v>
      </c>
      <c r="T78" t="s">
        <v>53</v>
      </c>
      <c r="U78" t="s">
        <v>44</v>
      </c>
    </row>
    <row r="79" spans="1:21" x14ac:dyDescent="0.3">
      <c r="A79">
        <v>10078</v>
      </c>
      <c r="B79" t="s">
        <v>194</v>
      </c>
      <c r="C79" t="s">
        <v>36</v>
      </c>
      <c r="D79">
        <v>27</v>
      </c>
      <c r="E79" t="s">
        <v>37</v>
      </c>
      <c r="F79" t="s">
        <v>38</v>
      </c>
      <c r="G79" t="s">
        <v>67</v>
      </c>
      <c r="H79" t="s">
        <v>49</v>
      </c>
      <c r="I79" t="s">
        <v>164</v>
      </c>
      <c r="J79" s="1">
        <v>44533</v>
      </c>
      <c r="K79" t="s">
        <v>28</v>
      </c>
      <c r="L79" t="s">
        <v>51</v>
      </c>
      <c r="M79">
        <v>32152</v>
      </c>
      <c r="N79" t="s">
        <v>43</v>
      </c>
      <c r="O79">
        <v>2312</v>
      </c>
      <c r="P79" t="s">
        <v>31</v>
      </c>
      <c r="Q79">
        <v>7</v>
      </c>
      <c r="R79">
        <v>2</v>
      </c>
      <c r="S79" t="s">
        <v>44</v>
      </c>
      <c r="T79" t="s">
        <v>53</v>
      </c>
      <c r="U79" t="s">
        <v>34</v>
      </c>
    </row>
    <row r="80" spans="1:21" x14ac:dyDescent="0.3">
      <c r="A80">
        <v>10079</v>
      </c>
      <c r="B80" t="s">
        <v>184</v>
      </c>
      <c r="C80" t="s">
        <v>36</v>
      </c>
      <c r="D80">
        <v>35</v>
      </c>
      <c r="E80" t="s">
        <v>37</v>
      </c>
      <c r="F80" t="s">
        <v>73</v>
      </c>
      <c r="G80" t="s">
        <v>25</v>
      </c>
      <c r="H80" t="s">
        <v>74</v>
      </c>
      <c r="I80" t="s">
        <v>169</v>
      </c>
      <c r="J80" s="1">
        <v>44925</v>
      </c>
      <c r="K80" t="s">
        <v>95</v>
      </c>
      <c r="L80" t="s">
        <v>29</v>
      </c>
      <c r="M80">
        <v>85710</v>
      </c>
      <c r="N80" t="s">
        <v>30</v>
      </c>
      <c r="O80">
        <v>3870</v>
      </c>
      <c r="P80" t="s">
        <v>44</v>
      </c>
      <c r="Q80">
        <v>12</v>
      </c>
      <c r="R80">
        <v>1</v>
      </c>
      <c r="S80" t="s">
        <v>44</v>
      </c>
      <c r="T80" t="s">
        <v>62</v>
      </c>
      <c r="U80" t="s">
        <v>34</v>
      </c>
    </row>
    <row r="81" spans="1:27" x14ac:dyDescent="0.3">
      <c r="A81">
        <v>10080</v>
      </c>
      <c r="B81" t="s">
        <v>192</v>
      </c>
      <c r="C81" t="s">
        <v>22</v>
      </c>
      <c r="D81">
        <v>38</v>
      </c>
      <c r="E81" t="s">
        <v>56</v>
      </c>
      <c r="F81" t="s">
        <v>38</v>
      </c>
      <c r="G81" t="s">
        <v>39</v>
      </c>
      <c r="H81" t="s">
        <v>40</v>
      </c>
      <c r="I81" t="s">
        <v>169</v>
      </c>
      <c r="J81" s="1">
        <v>43770</v>
      </c>
      <c r="K81" t="s">
        <v>28</v>
      </c>
      <c r="L81" t="s">
        <v>51</v>
      </c>
      <c r="M81">
        <v>73232</v>
      </c>
      <c r="N81" t="s">
        <v>43</v>
      </c>
      <c r="O81">
        <v>5506</v>
      </c>
      <c r="P81" t="s">
        <v>61</v>
      </c>
      <c r="Q81">
        <v>9</v>
      </c>
      <c r="R81">
        <v>1</v>
      </c>
      <c r="S81" t="s">
        <v>32</v>
      </c>
      <c r="T81" t="s">
        <v>33</v>
      </c>
      <c r="U81" t="s">
        <v>34</v>
      </c>
    </row>
    <row r="82" spans="1:27" x14ac:dyDescent="0.3">
      <c r="A82">
        <v>10081</v>
      </c>
      <c r="B82" t="s">
        <v>195</v>
      </c>
      <c r="C82" t="s">
        <v>22</v>
      </c>
      <c r="D82">
        <v>23</v>
      </c>
      <c r="E82" t="s">
        <v>23</v>
      </c>
      <c r="F82" t="s">
        <v>89</v>
      </c>
      <c r="G82" t="s">
        <v>48</v>
      </c>
      <c r="H82" t="s">
        <v>40</v>
      </c>
      <c r="I82" t="s">
        <v>164</v>
      </c>
      <c r="J82" s="1">
        <v>45389</v>
      </c>
      <c r="K82" t="s">
        <v>28</v>
      </c>
      <c r="L82" t="s">
        <v>29</v>
      </c>
      <c r="M82">
        <v>33994</v>
      </c>
      <c r="N82" t="s">
        <v>43</v>
      </c>
      <c r="O82">
        <v>1162</v>
      </c>
      <c r="P82" t="s">
        <v>31</v>
      </c>
      <c r="Q82">
        <v>5</v>
      </c>
      <c r="R82">
        <v>1</v>
      </c>
      <c r="S82" t="s">
        <v>32</v>
      </c>
      <c r="T82" t="s">
        <v>69</v>
      </c>
      <c r="U82" t="s">
        <v>34</v>
      </c>
      <c r="AA82">
        <f>COUNTIF(C2:C101,"Female")</f>
        <v>49</v>
      </c>
    </row>
    <row r="83" spans="1:27" x14ac:dyDescent="0.3">
      <c r="A83">
        <v>10082</v>
      </c>
      <c r="B83" t="s">
        <v>196</v>
      </c>
      <c r="C83" t="s">
        <v>36</v>
      </c>
      <c r="D83">
        <v>52</v>
      </c>
      <c r="E83" t="s">
        <v>86</v>
      </c>
      <c r="F83" t="s">
        <v>47</v>
      </c>
      <c r="G83" t="s">
        <v>25</v>
      </c>
      <c r="H83" t="s">
        <v>40</v>
      </c>
      <c r="I83" t="s">
        <v>173</v>
      </c>
      <c r="J83" s="1">
        <v>45774</v>
      </c>
      <c r="K83" t="s">
        <v>59</v>
      </c>
      <c r="L83" t="s">
        <v>29</v>
      </c>
      <c r="M83">
        <v>32395</v>
      </c>
      <c r="N83" t="s">
        <v>43</v>
      </c>
      <c r="O83">
        <v>3515</v>
      </c>
      <c r="P83" t="s">
        <v>61</v>
      </c>
      <c r="Q83">
        <v>4</v>
      </c>
      <c r="R83">
        <v>5</v>
      </c>
      <c r="S83" t="s">
        <v>32</v>
      </c>
      <c r="T83" t="s">
        <v>33</v>
      </c>
      <c r="U83" t="s">
        <v>34</v>
      </c>
      <c r="AA83">
        <f>COUNTIF(C2:C101,"Male")</f>
        <v>51</v>
      </c>
    </row>
    <row r="84" spans="1:27" x14ac:dyDescent="0.3">
      <c r="A84">
        <v>10083</v>
      </c>
      <c r="B84" t="s">
        <v>197</v>
      </c>
      <c r="C84" t="s">
        <v>36</v>
      </c>
      <c r="D84">
        <v>50</v>
      </c>
      <c r="E84" t="s">
        <v>86</v>
      </c>
      <c r="F84" t="s">
        <v>47</v>
      </c>
      <c r="G84" t="s">
        <v>102</v>
      </c>
      <c r="H84" t="s">
        <v>74</v>
      </c>
      <c r="I84" t="s">
        <v>173</v>
      </c>
      <c r="J84" s="1">
        <v>44162</v>
      </c>
      <c r="K84" t="s">
        <v>95</v>
      </c>
      <c r="L84" t="s">
        <v>51</v>
      </c>
      <c r="M84">
        <v>88353</v>
      </c>
      <c r="N84" t="s">
        <v>43</v>
      </c>
      <c r="O84">
        <v>6847</v>
      </c>
      <c r="P84" t="s">
        <v>31</v>
      </c>
      <c r="Q84">
        <v>15</v>
      </c>
      <c r="R84">
        <v>5</v>
      </c>
      <c r="S84" t="s">
        <v>32</v>
      </c>
      <c r="T84" t="s">
        <v>53</v>
      </c>
      <c r="U84" t="s">
        <v>54</v>
      </c>
    </row>
    <row r="85" spans="1:27" x14ac:dyDescent="0.3">
      <c r="A85">
        <v>10084</v>
      </c>
      <c r="B85" t="s">
        <v>198</v>
      </c>
      <c r="C85" t="s">
        <v>22</v>
      </c>
      <c r="D85">
        <v>34</v>
      </c>
      <c r="E85" t="s">
        <v>37</v>
      </c>
      <c r="F85" t="s">
        <v>73</v>
      </c>
      <c r="G85" t="s">
        <v>102</v>
      </c>
      <c r="H85" t="s">
        <v>40</v>
      </c>
      <c r="I85" t="s">
        <v>175</v>
      </c>
      <c r="J85" s="1">
        <v>45743</v>
      </c>
      <c r="K85" t="s">
        <v>95</v>
      </c>
      <c r="L85" t="s">
        <v>29</v>
      </c>
      <c r="M85">
        <v>47269</v>
      </c>
      <c r="N85" t="s">
        <v>43</v>
      </c>
      <c r="O85">
        <v>5626</v>
      </c>
      <c r="P85" t="s">
        <v>44</v>
      </c>
      <c r="Q85">
        <v>14</v>
      </c>
      <c r="R85">
        <v>3</v>
      </c>
      <c r="S85" t="s">
        <v>32</v>
      </c>
      <c r="T85" t="s">
        <v>33</v>
      </c>
      <c r="U85" t="s">
        <v>34</v>
      </c>
    </row>
    <row r="86" spans="1:27" x14ac:dyDescent="0.3">
      <c r="A86">
        <v>10085</v>
      </c>
      <c r="B86" t="s">
        <v>199</v>
      </c>
      <c r="C86" t="s">
        <v>22</v>
      </c>
      <c r="D86">
        <v>40</v>
      </c>
      <c r="E86" t="s">
        <v>56</v>
      </c>
      <c r="F86" t="s">
        <v>38</v>
      </c>
      <c r="G86" t="s">
        <v>102</v>
      </c>
      <c r="H86" t="s">
        <v>74</v>
      </c>
      <c r="I86" t="s">
        <v>169</v>
      </c>
      <c r="J86" s="1">
        <v>41856</v>
      </c>
      <c r="K86" t="s">
        <v>28</v>
      </c>
      <c r="L86" t="s">
        <v>29</v>
      </c>
      <c r="M86">
        <v>73454</v>
      </c>
      <c r="N86" t="s">
        <v>43</v>
      </c>
      <c r="O86">
        <v>4686</v>
      </c>
      <c r="P86" t="s">
        <v>44</v>
      </c>
      <c r="Q86">
        <v>3</v>
      </c>
      <c r="R86">
        <v>5</v>
      </c>
      <c r="S86" t="s">
        <v>45</v>
      </c>
      <c r="T86" t="s">
        <v>62</v>
      </c>
      <c r="U86" t="s">
        <v>44</v>
      </c>
    </row>
    <row r="87" spans="1:27" x14ac:dyDescent="0.3">
      <c r="A87">
        <v>10086</v>
      </c>
      <c r="B87" t="s">
        <v>200</v>
      </c>
      <c r="C87" t="s">
        <v>36</v>
      </c>
      <c r="D87">
        <v>40</v>
      </c>
      <c r="E87" t="s">
        <v>56</v>
      </c>
      <c r="F87" t="s">
        <v>38</v>
      </c>
      <c r="G87" t="s">
        <v>102</v>
      </c>
      <c r="H87" t="s">
        <v>26</v>
      </c>
      <c r="I87" t="s">
        <v>164</v>
      </c>
      <c r="J87" s="1">
        <v>42950</v>
      </c>
      <c r="K87" t="s">
        <v>28</v>
      </c>
      <c r="L87" t="s">
        <v>29</v>
      </c>
      <c r="M87">
        <v>94864</v>
      </c>
      <c r="N87" t="s">
        <v>30</v>
      </c>
      <c r="O87">
        <v>3983</v>
      </c>
      <c r="P87" t="s">
        <v>61</v>
      </c>
      <c r="Q87">
        <v>18</v>
      </c>
      <c r="R87">
        <v>3</v>
      </c>
      <c r="S87" t="s">
        <v>45</v>
      </c>
      <c r="T87" t="s">
        <v>84</v>
      </c>
      <c r="U87" t="s">
        <v>34</v>
      </c>
    </row>
    <row r="88" spans="1:27" x14ac:dyDescent="0.3">
      <c r="A88">
        <v>10087</v>
      </c>
      <c r="B88" t="s">
        <v>185</v>
      </c>
      <c r="C88" t="s">
        <v>36</v>
      </c>
      <c r="D88">
        <v>52</v>
      </c>
      <c r="E88" t="s">
        <v>86</v>
      </c>
      <c r="F88" t="s">
        <v>73</v>
      </c>
      <c r="G88" t="s">
        <v>25</v>
      </c>
      <c r="H88" t="s">
        <v>40</v>
      </c>
      <c r="I88" t="s">
        <v>167</v>
      </c>
      <c r="J88" s="1">
        <v>42507</v>
      </c>
      <c r="K88" t="s">
        <v>28</v>
      </c>
      <c r="L88" t="s">
        <v>29</v>
      </c>
      <c r="M88">
        <v>87544</v>
      </c>
      <c r="N88" t="s">
        <v>30</v>
      </c>
      <c r="O88">
        <v>5916</v>
      </c>
      <c r="P88" t="s">
        <v>31</v>
      </c>
      <c r="Q88">
        <v>10</v>
      </c>
      <c r="R88">
        <v>4</v>
      </c>
      <c r="S88" t="s">
        <v>45</v>
      </c>
      <c r="T88" t="s">
        <v>62</v>
      </c>
      <c r="U88" t="s">
        <v>54</v>
      </c>
    </row>
    <row r="89" spans="1:27" x14ac:dyDescent="0.3">
      <c r="A89">
        <v>10088</v>
      </c>
      <c r="B89" t="s">
        <v>201</v>
      </c>
      <c r="C89" t="s">
        <v>36</v>
      </c>
      <c r="D89">
        <v>31</v>
      </c>
      <c r="E89" t="s">
        <v>37</v>
      </c>
      <c r="F89" t="s">
        <v>38</v>
      </c>
      <c r="G89" t="s">
        <v>67</v>
      </c>
      <c r="H89" t="s">
        <v>57</v>
      </c>
      <c r="I89" t="s">
        <v>167</v>
      </c>
      <c r="J89" s="1">
        <v>45669</v>
      </c>
      <c r="K89" t="s">
        <v>28</v>
      </c>
      <c r="L89" t="s">
        <v>29</v>
      </c>
      <c r="M89">
        <v>38951</v>
      </c>
      <c r="N89" t="s">
        <v>43</v>
      </c>
      <c r="O89">
        <v>9412</v>
      </c>
      <c r="P89" t="s">
        <v>44</v>
      </c>
      <c r="Q89">
        <v>17</v>
      </c>
      <c r="R89">
        <v>5</v>
      </c>
      <c r="S89" t="s">
        <v>45</v>
      </c>
      <c r="T89" t="s">
        <v>84</v>
      </c>
      <c r="U89" t="s">
        <v>34</v>
      </c>
    </row>
    <row r="90" spans="1:27" x14ac:dyDescent="0.3">
      <c r="A90">
        <v>10089</v>
      </c>
      <c r="B90" t="s">
        <v>202</v>
      </c>
      <c r="C90" t="s">
        <v>36</v>
      </c>
      <c r="D90">
        <v>47</v>
      </c>
      <c r="E90" t="s">
        <v>86</v>
      </c>
      <c r="F90" t="s">
        <v>47</v>
      </c>
      <c r="G90" t="s">
        <v>25</v>
      </c>
      <c r="H90" t="s">
        <v>74</v>
      </c>
      <c r="I90" t="s">
        <v>169</v>
      </c>
      <c r="J90" s="1">
        <v>44992</v>
      </c>
      <c r="K90" t="s">
        <v>59</v>
      </c>
      <c r="L90" t="s">
        <v>51</v>
      </c>
      <c r="M90">
        <v>70521</v>
      </c>
      <c r="N90" t="s">
        <v>43</v>
      </c>
      <c r="O90">
        <v>8471</v>
      </c>
      <c r="P90" t="s">
        <v>31</v>
      </c>
      <c r="Q90">
        <v>7</v>
      </c>
      <c r="R90">
        <v>2</v>
      </c>
      <c r="S90" t="s">
        <v>45</v>
      </c>
      <c r="T90" t="s">
        <v>62</v>
      </c>
      <c r="U90" t="s">
        <v>54</v>
      </c>
    </row>
    <row r="91" spans="1:27" x14ac:dyDescent="0.3">
      <c r="A91">
        <v>10090</v>
      </c>
      <c r="B91" t="s">
        <v>203</v>
      </c>
      <c r="C91" t="s">
        <v>36</v>
      </c>
      <c r="D91">
        <v>40</v>
      </c>
      <c r="E91" t="s">
        <v>56</v>
      </c>
      <c r="F91" t="s">
        <v>73</v>
      </c>
      <c r="G91" t="s">
        <v>67</v>
      </c>
      <c r="H91" t="s">
        <v>49</v>
      </c>
      <c r="I91" t="s">
        <v>173</v>
      </c>
      <c r="J91" s="1">
        <v>45664</v>
      </c>
      <c r="K91" t="s">
        <v>28</v>
      </c>
      <c r="L91" t="s">
        <v>29</v>
      </c>
      <c r="M91">
        <v>94677</v>
      </c>
      <c r="N91" t="s">
        <v>30</v>
      </c>
      <c r="O91">
        <v>1436</v>
      </c>
      <c r="P91" t="s">
        <v>44</v>
      </c>
      <c r="Q91">
        <v>18</v>
      </c>
      <c r="R91">
        <v>3</v>
      </c>
      <c r="S91" t="s">
        <v>44</v>
      </c>
      <c r="T91" t="s">
        <v>33</v>
      </c>
      <c r="U91" t="s">
        <v>34</v>
      </c>
    </row>
    <row r="92" spans="1:27" x14ac:dyDescent="0.3">
      <c r="A92">
        <v>10091</v>
      </c>
      <c r="B92" t="s">
        <v>204</v>
      </c>
      <c r="C92" t="s">
        <v>36</v>
      </c>
      <c r="D92">
        <v>39</v>
      </c>
      <c r="E92" t="s">
        <v>56</v>
      </c>
      <c r="F92" t="s">
        <v>89</v>
      </c>
      <c r="G92" t="s">
        <v>25</v>
      </c>
      <c r="H92" t="s">
        <v>40</v>
      </c>
      <c r="I92" t="s">
        <v>173</v>
      </c>
      <c r="J92" s="1">
        <v>43695</v>
      </c>
      <c r="K92" t="s">
        <v>95</v>
      </c>
      <c r="L92" t="s">
        <v>42</v>
      </c>
      <c r="M92">
        <v>53505</v>
      </c>
      <c r="N92" t="s">
        <v>60</v>
      </c>
      <c r="O92">
        <v>6751</v>
      </c>
      <c r="P92" t="s">
        <v>31</v>
      </c>
      <c r="Q92">
        <v>16</v>
      </c>
      <c r="R92">
        <v>2</v>
      </c>
      <c r="S92" t="s">
        <v>45</v>
      </c>
      <c r="T92" t="s">
        <v>33</v>
      </c>
      <c r="U92" t="s">
        <v>34</v>
      </c>
    </row>
    <row r="93" spans="1:27" x14ac:dyDescent="0.3">
      <c r="A93">
        <v>10092</v>
      </c>
      <c r="B93" t="s">
        <v>203</v>
      </c>
      <c r="C93" t="s">
        <v>36</v>
      </c>
      <c r="D93">
        <v>36</v>
      </c>
      <c r="E93" t="s">
        <v>56</v>
      </c>
      <c r="F93" t="s">
        <v>73</v>
      </c>
      <c r="G93" t="s">
        <v>48</v>
      </c>
      <c r="H93" t="s">
        <v>49</v>
      </c>
      <c r="I93" t="s">
        <v>164</v>
      </c>
      <c r="J93" s="1">
        <v>45675</v>
      </c>
      <c r="K93" t="s">
        <v>28</v>
      </c>
      <c r="L93" t="s">
        <v>51</v>
      </c>
      <c r="M93">
        <v>51335</v>
      </c>
      <c r="N93" t="s">
        <v>52</v>
      </c>
      <c r="O93">
        <v>8535</v>
      </c>
      <c r="P93" t="s">
        <v>44</v>
      </c>
      <c r="Q93">
        <v>2</v>
      </c>
      <c r="R93">
        <v>5</v>
      </c>
      <c r="S93" t="s">
        <v>45</v>
      </c>
      <c r="T93" t="s">
        <v>33</v>
      </c>
      <c r="U93" t="s">
        <v>34</v>
      </c>
    </row>
    <row r="94" spans="1:27" x14ac:dyDescent="0.3">
      <c r="A94">
        <v>10093</v>
      </c>
      <c r="B94" t="s">
        <v>205</v>
      </c>
      <c r="C94" t="s">
        <v>22</v>
      </c>
      <c r="D94">
        <v>46</v>
      </c>
      <c r="E94" t="s">
        <v>86</v>
      </c>
      <c r="F94" t="s">
        <v>38</v>
      </c>
      <c r="G94" t="s">
        <v>39</v>
      </c>
      <c r="H94" t="s">
        <v>40</v>
      </c>
      <c r="I94" t="s">
        <v>173</v>
      </c>
      <c r="J94" s="1">
        <v>44815</v>
      </c>
      <c r="K94" t="s">
        <v>28</v>
      </c>
      <c r="L94" t="s">
        <v>42</v>
      </c>
      <c r="M94">
        <v>96587</v>
      </c>
      <c r="N94" t="s">
        <v>52</v>
      </c>
      <c r="O94">
        <v>4148</v>
      </c>
      <c r="P94" t="s">
        <v>61</v>
      </c>
      <c r="Q94">
        <v>15</v>
      </c>
      <c r="R94">
        <v>1</v>
      </c>
      <c r="S94" t="s">
        <v>44</v>
      </c>
      <c r="T94" t="s">
        <v>84</v>
      </c>
      <c r="U94" t="s">
        <v>34</v>
      </c>
    </row>
    <row r="95" spans="1:27" x14ac:dyDescent="0.3">
      <c r="A95">
        <v>10094</v>
      </c>
      <c r="B95" t="s">
        <v>178</v>
      </c>
      <c r="C95" t="s">
        <v>36</v>
      </c>
      <c r="D95">
        <v>54</v>
      </c>
      <c r="E95" t="s">
        <v>86</v>
      </c>
      <c r="F95" t="s">
        <v>24</v>
      </c>
      <c r="G95" t="s">
        <v>67</v>
      </c>
      <c r="H95" t="s">
        <v>49</v>
      </c>
      <c r="I95" t="s">
        <v>169</v>
      </c>
      <c r="J95" s="1">
        <v>44319</v>
      </c>
      <c r="K95" t="s">
        <v>95</v>
      </c>
      <c r="L95" t="s">
        <v>42</v>
      </c>
      <c r="M95">
        <v>81767</v>
      </c>
      <c r="N95" t="s">
        <v>30</v>
      </c>
      <c r="O95">
        <v>4425</v>
      </c>
      <c r="P95" t="s">
        <v>61</v>
      </c>
      <c r="Q95">
        <v>16</v>
      </c>
      <c r="R95">
        <v>1</v>
      </c>
      <c r="S95" t="s">
        <v>44</v>
      </c>
      <c r="T95" t="s">
        <v>33</v>
      </c>
      <c r="U95" t="s">
        <v>54</v>
      </c>
    </row>
    <row r="96" spans="1:27" x14ac:dyDescent="0.3">
      <c r="A96">
        <v>10095</v>
      </c>
      <c r="B96" t="s">
        <v>206</v>
      </c>
      <c r="C96" t="s">
        <v>36</v>
      </c>
      <c r="D96">
        <v>54</v>
      </c>
      <c r="E96" t="s">
        <v>86</v>
      </c>
      <c r="F96" t="s">
        <v>38</v>
      </c>
      <c r="G96" t="s">
        <v>48</v>
      </c>
      <c r="H96" t="s">
        <v>40</v>
      </c>
      <c r="I96" t="s">
        <v>164</v>
      </c>
      <c r="J96" s="1">
        <v>44992</v>
      </c>
      <c r="K96" t="s">
        <v>28</v>
      </c>
      <c r="L96" t="s">
        <v>29</v>
      </c>
      <c r="M96">
        <v>70567</v>
      </c>
      <c r="N96" t="s">
        <v>52</v>
      </c>
      <c r="O96">
        <v>3149</v>
      </c>
      <c r="P96" t="s">
        <v>61</v>
      </c>
      <c r="Q96">
        <v>15</v>
      </c>
      <c r="R96">
        <v>4</v>
      </c>
      <c r="S96" t="s">
        <v>44</v>
      </c>
      <c r="T96" t="s">
        <v>62</v>
      </c>
      <c r="U96" t="s">
        <v>54</v>
      </c>
    </row>
    <row r="97" spans="1:21" x14ac:dyDescent="0.3">
      <c r="A97">
        <v>10096</v>
      </c>
      <c r="B97" t="s">
        <v>207</v>
      </c>
      <c r="C97" t="s">
        <v>22</v>
      </c>
      <c r="D97">
        <v>35</v>
      </c>
      <c r="E97" t="s">
        <v>37</v>
      </c>
      <c r="F97" t="s">
        <v>73</v>
      </c>
      <c r="G97" t="s">
        <v>102</v>
      </c>
      <c r="H97" t="s">
        <v>26</v>
      </c>
      <c r="I97" t="s">
        <v>169</v>
      </c>
      <c r="J97" s="1">
        <v>44849</v>
      </c>
      <c r="K97" t="s">
        <v>95</v>
      </c>
      <c r="L97" t="s">
        <v>51</v>
      </c>
      <c r="M97">
        <v>47791</v>
      </c>
      <c r="N97" t="s">
        <v>43</v>
      </c>
      <c r="O97">
        <v>6443</v>
      </c>
      <c r="P97" t="s">
        <v>31</v>
      </c>
      <c r="Q97">
        <v>8</v>
      </c>
      <c r="R97">
        <v>5</v>
      </c>
      <c r="S97" t="s">
        <v>32</v>
      </c>
      <c r="T97" t="s">
        <v>33</v>
      </c>
      <c r="U97" t="s">
        <v>44</v>
      </c>
    </row>
    <row r="98" spans="1:21" x14ac:dyDescent="0.3">
      <c r="A98">
        <v>10097</v>
      </c>
      <c r="B98" t="s">
        <v>204</v>
      </c>
      <c r="C98" t="s">
        <v>36</v>
      </c>
      <c r="D98">
        <v>23</v>
      </c>
      <c r="E98" t="s">
        <v>23</v>
      </c>
      <c r="F98" t="s">
        <v>73</v>
      </c>
      <c r="G98" t="s">
        <v>48</v>
      </c>
      <c r="H98" t="s">
        <v>57</v>
      </c>
      <c r="I98" t="s">
        <v>164</v>
      </c>
      <c r="J98" s="1">
        <v>44042</v>
      </c>
      <c r="K98" t="s">
        <v>95</v>
      </c>
      <c r="L98" t="s">
        <v>29</v>
      </c>
      <c r="M98">
        <v>71619</v>
      </c>
      <c r="N98" t="s">
        <v>60</v>
      </c>
      <c r="O98">
        <v>2409</v>
      </c>
      <c r="P98" t="s">
        <v>31</v>
      </c>
      <c r="Q98">
        <v>20</v>
      </c>
      <c r="R98">
        <v>4</v>
      </c>
      <c r="S98" t="s">
        <v>44</v>
      </c>
      <c r="T98" t="s">
        <v>62</v>
      </c>
      <c r="U98" t="s">
        <v>44</v>
      </c>
    </row>
    <row r="99" spans="1:21" x14ac:dyDescent="0.3">
      <c r="A99">
        <v>10098</v>
      </c>
      <c r="B99" t="s">
        <v>208</v>
      </c>
      <c r="C99" t="s">
        <v>36</v>
      </c>
      <c r="D99">
        <v>37</v>
      </c>
      <c r="E99" t="s">
        <v>56</v>
      </c>
      <c r="F99" t="s">
        <v>47</v>
      </c>
      <c r="G99" t="s">
        <v>67</v>
      </c>
      <c r="H99" t="s">
        <v>26</v>
      </c>
      <c r="I99" t="s">
        <v>167</v>
      </c>
      <c r="J99" s="1">
        <v>44671</v>
      </c>
      <c r="K99" t="s">
        <v>95</v>
      </c>
      <c r="L99" t="s">
        <v>29</v>
      </c>
      <c r="M99">
        <v>38234</v>
      </c>
      <c r="N99" t="s">
        <v>60</v>
      </c>
      <c r="O99">
        <v>3160</v>
      </c>
      <c r="P99" t="s">
        <v>31</v>
      </c>
      <c r="Q99">
        <v>10</v>
      </c>
      <c r="R99">
        <v>2</v>
      </c>
      <c r="S99" t="s">
        <v>44</v>
      </c>
      <c r="T99" t="s">
        <v>62</v>
      </c>
      <c r="U99" t="s">
        <v>44</v>
      </c>
    </row>
    <row r="100" spans="1:21" x14ac:dyDescent="0.3">
      <c r="A100">
        <v>10099</v>
      </c>
      <c r="B100" t="s">
        <v>209</v>
      </c>
      <c r="C100" t="s">
        <v>22</v>
      </c>
      <c r="D100">
        <v>33</v>
      </c>
      <c r="E100" t="s">
        <v>37</v>
      </c>
      <c r="F100" t="s">
        <v>24</v>
      </c>
      <c r="G100" t="s">
        <v>67</v>
      </c>
      <c r="H100" t="s">
        <v>26</v>
      </c>
      <c r="I100" t="s">
        <v>169</v>
      </c>
      <c r="J100" s="1">
        <v>44091</v>
      </c>
      <c r="K100" t="s">
        <v>95</v>
      </c>
      <c r="L100" t="s">
        <v>29</v>
      </c>
      <c r="M100">
        <v>54528</v>
      </c>
      <c r="N100" t="s">
        <v>52</v>
      </c>
      <c r="O100">
        <v>5238</v>
      </c>
      <c r="P100" t="s">
        <v>31</v>
      </c>
      <c r="Q100">
        <v>9</v>
      </c>
      <c r="R100">
        <v>3</v>
      </c>
      <c r="S100" t="s">
        <v>44</v>
      </c>
      <c r="T100" t="s">
        <v>53</v>
      </c>
      <c r="U100" t="s">
        <v>44</v>
      </c>
    </row>
    <row r="101" spans="1:21" x14ac:dyDescent="0.3">
      <c r="A101">
        <v>10100</v>
      </c>
      <c r="B101" t="s">
        <v>210</v>
      </c>
      <c r="C101" t="s">
        <v>22</v>
      </c>
      <c r="D101">
        <v>26</v>
      </c>
      <c r="E101" t="s">
        <v>37</v>
      </c>
      <c r="F101" t="s">
        <v>89</v>
      </c>
      <c r="G101" t="s">
        <v>67</v>
      </c>
      <c r="H101" t="s">
        <v>74</v>
      </c>
      <c r="I101" t="s">
        <v>164</v>
      </c>
      <c r="J101" s="1">
        <v>42417</v>
      </c>
      <c r="K101" t="s">
        <v>59</v>
      </c>
      <c r="L101" t="s">
        <v>29</v>
      </c>
      <c r="M101">
        <v>54125</v>
      </c>
      <c r="N101" t="s">
        <v>52</v>
      </c>
      <c r="O101">
        <v>9708</v>
      </c>
      <c r="P101" t="s">
        <v>31</v>
      </c>
      <c r="Q101">
        <v>0</v>
      </c>
      <c r="R101">
        <v>1</v>
      </c>
      <c r="S101" t="s">
        <v>45</v>
      </c>
      <c r="T101" t="s">
        <v>33</v>
      </c>
      <c r="U101" t="s">
        <v>34</v>
      </c>
    </row>
    <row r="102" spans="1:21" x14ac:dyDescent="0.3">
      <c r="J102"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575EF-9655-454E-9082-D35774491CDB}">
  <sheetPr codeName="Sheet3"/>
  <dimension ref="AH18"/>
  <sheetViews>
    <sheetView showGridLines="0" tabSelected="1" zoomScale="78" zoomScaleNormal="80" workbookViewId="0">
      <selection activeCell="AD35" sqref="AD35"/>
    </sheetView>
  </sheetViews>
  <sheetFormatPr defaultRowHeight="14.4" x14ac:dyDescent="0.3"/>
  <sheetData>
    <row r="18" spans="34:34" x14ac:dyDescent="0.3">
      <c r="AH18"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HR Dataset</vt:lpstr>
      <vt:lpstr>HR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Nischitha Potharaju</dc:creator>
  <cp:lastModifiedBy>Nischitha Potharaju</cp:lastModifiedBy>
  <dcterms:created xsi:type="dcterms:W3CDTF">2026-10-05T12:46:58Z</dcterms:created>
  <dcterms:modified xsi:type="dcterms:W3CDTF">2026-10-23T03:31:57Z</dcterms:modified>
</cp:coreProperties>
</file>